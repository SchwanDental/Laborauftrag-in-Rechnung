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info\Desktop\"/>
    </mc:Choice>
  </mc:AlternateContent>
  <bookViews>
    <workbookView xWindow="0" yWindow="0" windowWidth="38400" windowHeight="17835" tabRatio="500"/>
  </bookViews>
  <sheets>
    <sheet name="Sheet1" sheetId="1" r:id="rId1"/>
    <sheet name="Tabelle1" sheetId="2" r:id="rId2"/>
  </sheets>
  <definedNames>
    <definedName name="_xlnm.Print_Area" localSheetId="0">Sheet1!$A$1:$G$45</definedName>
  </definedNames>
  <calcPr calcId="15251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26" i="1" l="1"/>
  <c r="G25" i="1"/>
  <c r="G24" i="1"/>
  <c r="G23" i="1"/>
  <c r="G22" i="1"/>
  <c r="G21" i="1"/>
  <c r="F88" i="2"/>
  <c r="E88" i="2"/>
  <c r="F87" i="2"/>
  <c r="E87" i="2"/>
  <c r="F86" i="2"/>
  <c r="E86" i="2"/>
  <c r="F85" i="2"/>
  <c r="E85" i="2"/>
  <c r="L84" i="2"/>
  <c r="E84" i="2"/>
  <c r="L83" i="2"/>
  <c r="F83" i="2"/>
  <c r="E83" i="2"/>
  <c r="L82" i="2"/>
  <c r="F82" i="2"/>
  <c r="E82" i="2"/>
  <c r="L81" i="2"/>
  <c r="F81" i="2"/>
  <c r="E81" i="2"/>
  <c r="M80" i="2"/>
  <c r="L80" i="2"/>
  <c r="F80" i="2"/>
  <c r="E80" i="2"/>
  <c r="L79" i="2"/>
  <c r="F79" i="2"/>
  <c r="E79" i="2"/>
  <c r="M78" i="2"/>
  <c r="L78" i="2"/>
  <c r="E78" i="2"/>
  <c r="M77" i="2"/>
  <c r="L77" i="2"/>
  <c r="E77" i="2"/>
  <c r="L76" i="2"/>
  <c r="E76" i="2"/>
  <c r="M75" i="2"/>
  <c r="L75" i="2"/>
  <c r="F75" i="2"/>
  <c r="E75" i="2"/>
  <c r="M74" i="2"/>
  <c r="L74" i="2"/>
  <c r="F74" i="2"/>
  <c r="E74" i="2"/>
  <c r="L73" i="2"/>
  <c r="E73" i="2"/>
  <c r="M72" i="2"/>
  <c r="L72" i="2"/>
  <c r="F72" i="2"/>
  <c r="E72" i="2"/>
  <c r="L71" i="2"/>
  <c r="F71" i="2"/>
  <c r="E71" i="2"/>
  <c r="M70" i="2"/>
  <c r="L70" i="2"/>
  <c r="F70" i="2"/>
  <c r="E70" i="2"/>
  <c r="M69" i="2"/>
  <c r="L69" i="2"/>
  <c r="E69" i="2"/>
  <c r="M68" i="2"/>
  <c r="L68" i="2"/>
  <c r="F68" i="2"/>
  <c r="E68" i="2"/>
  <c r="L67" i="2"/>
  <c r="F67" i="2"/>
  <c r="E67" i="2"/>
  <c r="M66" i="2"/>
  <c r="L66" i="2"/>
  <c r="F66" i="2"/>
  <c r="E66" i="2"/>
  <c r="M65" i="2"/>
  <c r="L65" i="2"/>
  <c r="F65" i="2"/>
  <c r="E65" i="2"/>
  <c r="L64" i="2"/>
  <c r="E64" i="2"/>
  <c r="L63" i="2"/>
  <c r="F63" i="2"/>
  <c r="E63" i="2"/>
  <c r="L62" i="2"/>
  <c r="F62" i="2"/>
  <c r="E62" i="2"/>
  <c r="L61" i="2"/>
  <c r="E61" i="2"/>
  <c r="L60" i="2"/>
  <c r="F60" i="2"/>
  <c r="E60" i="2"/>
  <c r="M59" i="2"/>
  <c r="F59" i="2"/>
  <c r="E59" i="2"/>
  <c r="E58" i="2"/>
  <c r="F57" i="2"/>
  <c r="E57" i="2"/>
  <c r="F56" i="2"/>
  <c r="E56" i="2"/>
  <c r="F55" i="2"/>
  <c r="E55" i="2"/>
  <c r="F54" i="2"/>
  <c r="E54" i="2"/>
  <c r="M53" i="2"/>
  <c r="F53" i="2"/>
  <c r="E53" i="2"/>
  <c r="M52" i="2"/>
  <c r="E52" i="2"/>
  <c r="M51" i="2"/>
  <c r="E51" i="2"/>
  <c r="F50" i="2"/>
  <c r="E50" i="2"/>
  <c r="M49" i="2"/>
  <c r="F49" i="2"/>
  <c r="E49" i="2"/>
  <c r="L48" i="2"/>
  <c r="F48" i="2"/>
  <c r="E48" i="2"/>
  <c r="L47" i="2"/>
  <c r="E47" i="2"/>
  <c r="M46" i="2"/>
  <c r="L46" i="2"/>
  <c r="F46" i="2"/>
  <c r="E46" i="2"/>
  <c r="M45" i="2"/>
  <c r="L45" i="2"/>
  <c r="F45" i="2"/>
  <c r="E45" i="2"/>
  <c r="L44" i="2"/>
  <c r="F44" i="2"/>
  <c r="E44" i="2"/>
  <c r="M43" i="2"/>
  <c r="L43" i="2"/>
  <c r="E43" i="2"/>
  <c r="M42" i="2"/>
  <c r="L42" i="2"/>
  <c r="E42" i="2"/>
  <c r="M41" i="2"/>
  <c r="L41" i="2"/>
  <c r="F41" i="2"/>
  <c r="E41" i="2"/>
  <c r="M40" i="2"/>
  <c r="L40" i="2"/>
  <c r="E40" i="2"/>
  <c r="M39" i="2"/>
  <c r="L39" i="2"/>
  <c r="E39" i="2"/>
  <c r="L38" i="2"/>
  <c r="E38" i="2"/>
  <c r="M37" i="2"/>
  <c r="L37" i="2"/>
  <c r="F37" i="2"/>
  <c r="E37" i="2"/>
  <c r="M36" i="2"/>
  <c r="L36" i="2"/>
  <c r="E36" i="2"/>
  <c r="M35" i="2"/>
  <c r="L35" i="2"/>
  <c r="E35" i="2"/>
  <c r="M34" i="2"/>
  <c r="L34" i="2"/>
  <c r="F34" i="2"/>
  <c r="E34" i="2"/>
  <c r="M33" i="2"/>
  <c r="L33" i="2"/>
  <c r="F33" i="2"/>
  <c r="E33" i="2"/>
  <c r="M32" i="2"/>
  <c r="L32" i="2"/>
  <c r="F32" i="2"/>
  <c r="E32" i="2"/>
  <c r="M31" i="2"/>
  <c r="L31" i="2"/>
  <c r="F31" i="2"/>
  <c r="E31" i="2"/>
  <c r="L30" i="2"/>
  <c r="F30" i="2"/>
  <c r="E30" i="2"/>
  <c r="L29" i="2"/>
  <c r="E29" i="2"/>
  <c r="M28" i="2"/>
  <c r="L28" i="2"/>
  <c r="E28" i="2"/>
  <c r="L27" i="2"/>
  <c r="E27" i="2"/>
  <c r="M26" i="2"/>
  <c r="L26" i="2"/>
  <c r="F26" i="2"/>
  <c r="E26" i="2"/>
  <c r="M25" i="2"/>
  <c r="L25" i="2"/>
  <c r="E25" i="2"/>
  <c r="L24" i="2"/>
  <c r="E24" i="2"/>
  <c r="M23" i="2"/>
  <c r="L23" i="2"/>
  <c r="F23" i="2"/>
  <c r="E23" i="2"/>
  <c r="L22" i="2"/>
  <c r="F22" i="2"/>
  <c r="E22" i="2"/>
  <c r="M21" i="2"/>
  <c r="L21" i="2"/>
  <c r="E21" i="2"/>
  <c r="L20" i="2"/>
  <c r="F20" i="2"/>
  <c r="E20" i="2"/>
  <c r="M19" i="2"/>
  <c r="L19" i="2"/>
  <c r="E19" i="2"/>
  <c r="M18" i="2"/>
  <c r="L18" i="2"/>
  <c r="F18" i="2"/>
  <c r="E18" i="2"/>
  <c r="L17" i="2"/>
  <c r="F17" i="2"/>
  <c r="E17" i="2"/>
  <c r="M16" i="2"/>
  <c r="L16" i="2"/>
  <c r="F16" i="2"/>
  <c r="E16" i="2"/>
  <c r="M15" i="2"/>
  <c r="L15" i="2"/>
  <c r="E15" i="2"/>
  <c r="M14" i="2"/>
  <c r="L14" i="2"/>
  <c r="F14" i="2"/>
  <c r="E14" i="2"/>
  <c r="M13" i="2"/>
  <c r="L13" i="2"/>
  <c r="E13" i="2"/>
  <c r="M12" i="2"/>
  <c r="L12" i="2"/>
  <c r="F12" i="2"/>
  <c r="E12" i="2"/>
  <c r="M11" i="2"/>
  <c r="L11" i="2"/>
  <c r="F11" i="2"/>
  <c r="L10" i="2"/>
  <c r="E10" i="2"/>
  <c r="M9" i="2"/>
  <c r="L9" i="2"/>
  <c r="F9" i="2"/>
  <c r="E9" i="2"/>
  <c r="G28" i="1" l="1"/>
  <c r="G29" i="1" s="1"/>
  <c r="G30" i="1" s="1"/>
</calcChain>
</file>

<file path=xl/sharedStrings.xml><?xml version="1.0" encoding="utf-8"?>
<sst xmlns="http://schemas.openxmlformats.org/spreadsheetml/2006/main" count="389" uniqueCount="365">
  <si>
    <t>Pos.</t>
  </si>
  <si>
    <t>Bezeichnung</t>
  </si>
  <si>
    <t>Menge</t>
  </si>
  <si>
    <t>Einzelpreis</t>
  </si>
  <si>
    <t>Gesamtpreis</t>
  </si>
  <si>
    <t>Datum</t>
  </si>
  <si>
    <t>Kunden Nr.</t>
  </si>
  <si>
    <t>Patientenname</t>
  </si>
  <si>
    <t>Zahlungsbedingungen: nach Rechnungserhalt, 10 Tage</t>
  </si>
  <si>
    <t>Wir bedanken uns für Ihren Auftrag!</t>
  </si>
  <si>
    <t>Summe netto €</t>
  </si>
  <si>
    <t>Umsatzsteuer 7% €</t>
  </si>
  <si>
    <t>Gesamtsumme brutto €</t>
  </si>
  <si>
    <t>BEL II / BEB</t>
  </si>
  <si>
    <t>001</t>
  </si>
  <si>
    <t>002</t>
  </si>
  <si>
    <t>003</t>
  </si>
  <si>
    <r>
      <t xml:space="preserve">BEL II - 2014  </t>
    </r>
    <r>
      <rPr>
        <b/>
        <sz val="14"/>
        <rFont val="Arial"/>
        <family val="2"/>
      </rPr>
      <t>(gültig ab 01.01.2021)</t>
    </r>
  </si>
  <si>
    <t>Gewerbliche und Praxiseigene Laboratorien Land Brandenburg</t>
  </si>
  <si>
    <t>HÖCHSTPREISLISTE</t>
  </si>
  <si>
    <t>nach §§ 57 Abs. 2 sowie 88 Abs. 2 SGB V</t>
  </si>
  <si>
    <t>Gewerbl. Labore</t>
  </si>
  <si>
    <t>gewerbl. Labore</t>
  </si>
  <si>
    <t>Praxis-Labore</t>
  </si>
  <si>
    <t>L-Nr.</t>
  </si>
  <si>
    <t>Leistungsbezeichnung</t>
  </si>
  <si>
    <t>gültig ab 01.01.21</t>
  </si>
  <si>
    <t>gültig ab 01.01.13</t>
  </si>
  <si>
    <t>(KURZTEXT)</t>
  </si>
  <si>
    <t>in EUR</t>
  </si>
  <si>
    <t>001 0</t>
  </si>
  <si>
    <t>Modell</t>
  </si>
  <si>
    <t>104 0</t>
  </si>
  <si>
    <t>Modellation gießen</t>
  </si>
  <si>
    <t>001 8</t>
  </si>
  <si>
    <t>Modell bei Implantatversorgung</t>
  </si>
  <si>
    <t>105 0</t>
  </si>
  <si>
    <t>Stiftaufbau</t>
  </si>
  <si>
    <t>002 1</t>
  </si>
  <si>
    <t>Doublieren eines Modells</t>
  </si>
  <si>
    <t>110 0</t>
  </si>
  <si>
    <t>Brückenglied</t>
  </si>
  <si>
    <t>002 2</t>
  </si>
  <si>
    <t>Platzhalter einfügen</t>
  </si>
  <si>
    <t>120 0</t>
  </si>
  <si>
    <t>Teleskopierende Krone</t>
  </si>
  <si>
    <t>002 3</t>
  </si>
  <si>
    <t>Verwendung von Kunststoff</t>
  </si>
  <si>
    <t>120 1</t>
  </si>
  <si>
    <t>Teleskopier. Primär- oder Sekundärkrone</t>
  </si>
  <si>
    <t>002 4</t>
  </si>
  <si>
    <t>Galvanisieren</t>
  </si>
  <si>
    <t>133 1</t>
  </si>
  <si>
    <t>Individuelles Geschiebe</t>
  </si>
  <si>
    <t>003 0</t>
  </si>
  <si>
    <t>Set-up je Segment</t>
  </si>
  <si>
    <t>134 1</t>
  </si>
  <si>
    <t>Konfektions-Geschiebe</t>
  </si>
  <si>
    <t>005 1</t>
  </si>
  <si>
    <t>Sägemodell</t>
  </si>
  <si>
    <t>134 3</t>
  </si>
  <si>
    <t>Konfektions-Anker</t>
  </si>
  <si>
    <t>005 2</t>
  </si>
  <si>
    <t>Einzelstumpfmodell</t>
  </si>
  <si>
    <t>134 7</t>
  </si>
  <si>
    <t>Primär-/Sek.-Teil Konf.-Anker</t>
  </si>
  <si>
    <t>005 3</t>
  </si>
  <si>
    <t>Modell nach Überabdruck</t>
  </si>
  <si>
    <t>134 9</t>
  </si>
  <si>
    <t>Wiederbef. Sek.-Teil</t>
  </si>
  <si>
    <t>005 4</t>
  </si>
  <si>
    <t>Set-up-Modell für KFO</t>
  </si>
  <si>
    <t>136 0</t>
  </si>
  <si>
    <t>Gefrästes Lager</t>
  </si>
  <si>
    <t>005 5</t>
  </si>
  <si>
    <t>Fräsmodell</t>
  </si>
  <si>
    <t>137 0</t>
  </si>
  <si>
    <t>Schubverteilungsarm</t>
  </si>
  <si>
    <t>006 0</t>
  </si>
  <si>
    <t>Zahnkranz</t>
  </si>
  <si>
    <t>150 0</t>
  </si>
  <si>
    <t>Metallverbindung nach Brand</t>
  </si>
  <si>
    <t>007 0</t>
  </si>
  <si>
    <t>Zahnkranz sockeln</t>
  </si>
  <si>
    <t>155 0</t>
  </si>
  <si>
    <t>Konditionierung je Zahn/Flügel</t>
  </si>
  <si>
    <t>011 1</t>
  </si>
  <si>
    <t>Modellpaar trimmen</t>
  </si>
  <si>
    <t>160 0</t>
  </si>
  <si>
    <t>Vestibuläre Verblendung Kunststoff</t>
  </si>
  <si>
    <t>011 2</t>
  </si>
  <si>
    <t>Fixator</t>
  </si>
  <si>
    <t>161 0</t>
  </si>
  <si>
    <t>Zahnfleisch Kunststoff</t>
  </si>
  <si>
    <t>012 0</t>
  </si>
  <si>
    <t>Mittelwertartikulator</t>
  </si>
  <si>
    <t>162 0</t>
  </si>
  <si>
    <t>Vestibuläre Verblendung Keramik</t>
  </si>
  <si>
    <t>012 8</t>
  </si>
  <si>
    <t>Mittelwertartikulator bei Implantatv.</t>
  </si>
  <si>
    <t>162 8</t>
  </si>
  <si>
    <t>Vestib. Verbl. Keramik bei Implantatv.</t>
  </si>
  <si>
    <t>013 0</t>
  </si>
  <si>
    <t>Modellpaar sockeln</t>
  </si>
  <si>
    <t>163 0</t>
  </si>
  <si>
    <t>Zahnfleisch Keramik</t>
  </si>
  <si>
    <t>020 1</t>
  </si>
  <si>
    <t>Basis für Vorbissnahme</t>
  </si>
  <si>
    <t>163 8</t>
  </si>
  <si>
    <t>Zahnfleisch Keramik bei Implantatv.</t>
  </si>
  <si>
    <t>020 2</t>
  </si>
  <si>
    <t>Basis für Konstruktionsbiss</t>
  </si>
  <si>
    <t>164 0</t>
  </si>
  <si>
    <t>Vestibuläre Verblendung Komposit</t>
  </si>
  <si>
    <t>021 1</t>
  </si>
  <si>
    <t>Individueller Löffel</t>
  </si>
  <si>
    <t>165 0</t>
  </si>
  <si>
    <t>Zahnfleisch Komposit</t>
  </si>
  <si>
    <t>021 2</t>
  </si>
  <si>
    <t>Funktionslöffel</t>
  </si>
  <si>
    <t>201 0</t>
  </si>
  <si>
    <t>Metallbasis</t>
  </si>
  <si>
    <t>021 3</t>
  </si>
  <si>
    <t>Basis für Bissregistrierung</t>
  </si>
  <si>
    <t>202 1</t>
  </si>
  <si>
    <t>Einarmige gegossene Haltevorrichtung</t>
  </si>
  <si>
    <t>021 4</t>
  </si>
  <si>
    <t>Basis für Stützstiftregistrierung</t>
  </si>
  <si>
    <t>202 5</t>
  </si>
  <si>
    <t>Kralle</t>
  </si>
  <si>
    <t>021 5</t>
  </si>
  <si>
    <t>Basis für Aufstellung</t>
  </si>
  <si>
    <t>202 6</t>
  </si>
  <si>
    <t>Ney-Stiel</t>
  </si>
  <si>
    <t>021 6</t>
  </si>
  <si>
    <t>Basis für Bissregistr. bei Implantatv.</t>
  </si>
  <si>
    <t>202 7</t>
  </si>
  <si>
    <t>Auflage</t>
  </si>
  <si>
    <t>021 8</t>
  </si>
  <si>
    <t>Basis für Aufstellung bei Implantatv.</t>
  </si>
  <si>
    <t>202 8</t>
  </si>
  <si>
    <t>Umgehungsbügel bei Diastema</t>
  </si>
  <si>
    <t>022 0</t>
  </si>
  <si>
    <t>Bisswall</t>
  </si>
  <si>
    <t>203 1</t>
  </si>
  <si>
    <t>Zweiarmige gegossene Haltevorrichtung</t>
  </si>
  <si>
    <t>022 8</t>
  </si>
  <si>
    <t>Bisswall bei Implantatversorgung</t>
  </si>
  <si>
    <t>204 1</t>
  </si>
  <si>
    <t>Zweiarm. geg. Halte- u. Stützvorr. m. Aufl.</t>
  </si>
  <si>
    <t>023 0</t>
  </si>
  <si>
    <t>Registrierplatte und -stift auf Basen</t>
  </si>
  <si>
    <t>205 0</t>
  </si>
  <si>
    <t>Bonwillklammer</t>
  </si>
  <si>
    <t>024 0</t>
  </si>
  <si>
    <t>Übertragungskappe Kunststoff/Metall</t>
  </si>
  <si>
    <t>208 1</t>
  </si>
  <si>
    <t>Rückenschutzplatte</t>
  </si>
  <si>
    <t>031 0</t>
  </si>
  <si>
    <t>Provisorische Krone/Brückenglied</t>
  </si>
  <si>
    <t>208 2</t>
  </si>
  <si>
    <t>Metallzahn, gegossen</t>
  </si>
  <si>
    <t>032 0</t>
  </si>
  <si>
    <t>Formteil</t>
  </si>
  <si>
    <t>208 3</t>
  </si>
  <si>
    <t>Metallkaufläche, gegossen</t>
  </si>
  <si>
    <t>101 3</t>
  </si>
  <si>
    <t>Wurzelstiftkappe</t>
  </si>
  <si>
    <t>210 0</t>
  </si>
  <si>
    <t>Lösungshilfe</t>
  </si>
  <si>
    <t>102 1</t>
  </si>
  <si>
    <t>Vollkrone/Metall</t>
  </si>
  <si>
    <t>211 0</t>
  </si>
  <si>
    <t>Unterfütterbarer Abschlussrand</t>
  </si>
  <si>
    <t>102 2</t>
  </si>
  <si>
    <t>Teilkrone/Metall</t>
  </si>
  <si>
    <t>212 0</t>
  </si>
  <si>
    <t>Zuschlag einzelne gegossene Klammer</t>
  </si>
  <si>
    <t>102 3</t>
  </si>
  <si>
    <t>Flügel für Adhäsivbrücke, je Flügel</t>
  </si>
  <si>
    <t>301 0</t>
  </si>
  <si>
    <t>Aufstellung, Grundeinheit</t>
  </si>
  <si>
    <t>102 4</t>
  </si>
  <si>
    <t>Krone für vestibuläre Verblendung</t>
  </si>
  <si>
    <t>301 8</t>
  </si>
  <si>
    <t>Aufstellung, Grundeinheit bei Implantatv.</t>
  </si>
  <si>
    <t>102 6</t>
  </si>
  <si>
    <t>Vollkrone/Metall bei Implantatv.</t>
  </si>
  <si>
    <t>302 0</t>
  </si>
  <si>
    <t>Aufstellen Wachs oder Kunststoff je Zahn</t>
  </si>
  <si>
    <t>102 8</t>
  </si>
  <si>
    <t>Krone für vestib. Verbl. bei Implantatv.</t>
  </si>
  <si>
    <t>302 8</t>
  </si>
  <si>
    <t>Aufst. Wachs o. Kunstst. je Zahn bei Impl.</t>
  </si>
  <si>
    <t>103 1</t>
  </si>
  <si>
    <t>Vorbereiten Krone</t>
  </si>
  <si>
    <t>303 0</t>
  </si>
  <si>
    <t>Aufstellen Metall je Zahn</t>
  </si>
  <si>
    <t>103 2</t>
  </si>
  <si>
    <t>Krone/Brückenglied einarbeiten</t>
  </si>
  <si>
    <t>341 0</t>
  </si>
  <si>
    <t>Übertragung je Zahn</t>
  </si>
  <si>
    <t>103 3</t>
  </si>
  <si>
    <t>Stiftaufbau einarbeiten</t>
  </si>
  <si>
    <t>361 0</t>
  </si>
  <si>
    <t>Fertigstellung Grundeinheit</t>
  </si>
  <si>
    <t>361 8</t>
  </si>
  <si>
    <t>Fertigst. Grundeinheit bei Implantatv.</t>
  </si>
  <si>
    <t>750 0</t>
  </si>
  <si>
    <t>Einarmiges H-/A-Element</t>
  </si>
  <si>
    <t>362 0</t>
  </si>
  <si>
    <t>Fertigstellen je Zahn</t>
  </si>
  <si>
    <t>751 0</t>
  </si>
  <si>
    <t>Mehrarmiges H-/A-Element</t>
  </si>
  <si>
    <t>362 8</t>
  </si>
  <si>
    <t>Fertigstellen je Zahn bei Implantatv.</t>
  </si>
  <si>
    <t>801 0</t>
  </si>
  <si>
    <t>Grundeinheit ZE</t>
  </si>
  <si>
    <t>380 0</t>
  </si>
  <si>
    <t>Einfache gebogene Halte-/Stützvorr.</t>
  </si>
  <si>
    <t>801 8</t>
  </si>
  <si>
    <t>Grundeinheit Instands. ZE/implantatgest.</t>
  </si>
  <si>
    <t>380 5</t>
  </si>
  <si>
    <t>Gebogene Auflage</t>
  </si>
  <si>
    <t>802 1</t>
  </si>
  <si>
    <t>LE Sprung</t>
  </si>
  <si>
    <t>381 0</t>
  </si>
  <si>
    <t>Sonstige gebogene Halte- u./o. Stützvorr.</t>
  </si>
  <si>
    <t>802 2</t>
  </si>
  <si>
    <t>LE Bruch</t>
  </si>
  <si>
    <t>382 1</t>
  </si>
  <si>
    <t>Weichkunststoff</t>
  </si>
  <si>
    <t>802 3</t>
  </si>
  <si>
    <t>LE Einarbeiten Zahn</t>
  </si>
  <si>
    <t>382 2</t>
  </si>
  <si>
    <t>Sonderkunststoff</t>
  </si>
  <si>
    <t>802 4</t>
  </si>
  <si>
    <t>LE Basisteil Kunststoff</t>
  </si>
  <si>
    <t>383 0</t>
  </si>
  <si>
    <t>Zahn zahnfarben hergestellt</t>
  </si>
  <si>
    <t>802 5</t>
  </si>
  <si>
    <t>LE Halte- u./o. Stützvorr. einarbeiten</t>
  </si>
  <si>
    <t>384 0</t>
  </si>
  <si>
    <t>Zahn zahnfarben hinterlegt</t>
  </si>
  <si>
    <t>802 6</t>
  </si>
  <si>
    <t>LE Rückenschutzplatte einarbeiten</t>
  </si>
  <si>
    <t>401 0</t>
  </si>
  <si>
    <t>Aufbissbehelf m. adj. Oberfläche</t>
  </si>
  <si>
    <t>802 7</t>
  </si>
  <si>
    <t>LE Kunststoffsattel</t>
  </si>
  <si>
    <t>402 0</t>
  </si>
  <si>
    <t>Aufbissbehelf o. adj. Oberfläche</t>
  </si>
  <si>
    <t>803 0</t>
  </si>
  <si>
    <t>Retention, gebogen</t>
  </si>
  <si>
    <t>403 0</t>
  </si>
  <si>
    <t>Umarbeiten zum Aufbissbehelf</t>
  </si>
  <si>
    <t>804 0</t>
  </si>
  <si>
    <t>Retention, gegossen</t>
  </si>
  <si>
    <t>404 0</t>
  </si>
  <si>
    <t>Semiperm. Schiene aus Metall, je Zahn</t>
  </si>
  <si>
    <t>806 0</t>
  </si>
  <si>
    <t>Gegossenes Basisteil</t>
  </si>
  <si>
    <t>701 0</t>
  </si>
  <si>
    <t>Basis für Einzelkiefergerät</t>
  </si>
  <si>
    <t>807 0</t>
  </si>
  <si>
    <t>Metallverbindung bei Instands./Erweiter.</t>
  </si>
  <si>
    <t>702 0</t>
  </si>
  <si>
    <t>Basis bimaxilläres Gerät</t>
  </si>
  <si>
    <t>808 0</t>
  </si>
  <si>
    <t>Teilunterfütterung einer Basis</t>
  </si>
  <si>
    <t>703 0</t>
  </si>
  <si>
    <t>Schiefe Ebene</t>
  </si>
  <si>
    <t>808 8</t>
  </si>
  <si>
    <t>Teilunterfütterung/implantatgest.</t>
  </si>
  <si>
    <t>704 0</t>
  </si>
  <si>
    <t>Vorhofplatte</t>
  </si>
  <si>
    <t>809 0</t>
  </si>
  <si>
    <t>Vollständige Unterfütterung</t>
  </si>
  <si>
    <t>705 0</t>
  </si>
  <si>
    <t>Kinnkappe</t>
  </si>
  <si>
    <t>809 8</t>
  </si>
  <si>
    <t>Vollständige Unterfütterung/implantatgest.</t>
  </si>
  <si>
    <t>710 0</t>
  </si>
  <si>
    <t>Aufbiss</t>
  </si>
  <si>
    <t>810 0</t>
  </si>
  <si>
    <t>Prothesenbasis erneuern</t>
  </si>
  <si>
    <t>711 0</t>
  </si>
  <si>
    <t>Abschirmelement</t>
  </si>
  <si>
    <t>810 8</t>
  </si>
  <si>
    <t>Prothesenbasis erneuern/Implantatv.</t>
  </si>
  <si>
    <t>712 1</t>
  </si>
  <si>
    <t>Weichkunststoff (KFO)</t>
  </si>
  <si>
    <t>813 0</t>
  </si>
  <si>
    <t>Auswechseln Konfektionsteil</t>
  </si>
  <si>
    <t>712 2</t>
  </si>
  <si>
    <t>Sonderkunststoff (KFO)</t>
  </si>
  <si>
    <t>820 0</t>
  </si>
  <si>
    <t>Instandsetzung Krone/Flügel/Brückenglied</t>
  </si>
  <si>
    <t>720 0</t>
  </si>
  <si>
    <t>Schraube einarbeiten</t>
  </si>
  <si>
    <t>820 8</t>
  </si>
  <si>
    <t>Instandsetzung Krone/implantatgest.</t>
  </si>
  <si>
    <t>721 0</t>
  </si>
  <si>
    <t>Spezial-Schraube einarbeiten</t>
  </si>
  <si>
    <t>861 0</t>
  </si>
  <si>
    <t>Grundeinheit/Instands. KFO o. Aufbissb.</t>
  </si>
  <si>
    <t>722 0</t>
  </si>
  <si>
    <t>Trennen einer Basis</t>
  </si>
  <si>
    <t>862 0</t>
  </si>
  <si>
    <t>LE Einfügen Regulierungs- o. Halteelem.</t>
  </si>
  <si>
    <t>730 0</t>
  </si>
  <si>
    <t>Labialbogen</t>
  </si>
  <si>
    <t>863 0</t>
  </si>
  <si>
    <t>LE Erneuerung eines Elementes/intermax.</t>
  </si>
  <si>
    <t>731 0</t>
  </si>
  <si>
    <t>Labialbogen modifiziert</t>
  </si>
  <si>
    <t>864 0</t>
  </si>
  <si>
    <t>KFO-Basis erneuern</t>
  </si>
  <si>
    <t>732 0</t>
  </si>
  <si>
    <t>Labialbogen intermaxillär</t>
  </si>
  <si>
    <t>870 0</t>
  </si>
  <si>
    <t>Remontieren KFO-Gerät</t>
  </si>
  <si>
    <t>733 0</t>
  </si>
  <si>
    <t>Feder, offen</t>
  </si>
  <si>
    <t>933 0</t>
  </si>
  <si>
    <t>Versandkosten</t>
  </si>
  <si>
    <t>-</t>
  </si>
  <si>
    <t>734 0</t>
  </si>
  <si>
    <t>Feder, geschlossen</t>
  </si>
  <si>
    <t>933 8</t>
  </si>
  <si>
    <t>Versandkosten bei Implantatversorgung</t>
  </si>
  <si>
    <t>740 0</t>
  </si>
  <si>
    <t>Verbindungselement/intramaxillär</t>
  </si>
  <si>
    <t>970 0</t>
  </si>
  <si>
    <t>Verarbeitungsaufwand NEM-Legierung</t>
  </si>
  <si>
    <t>741 0</t>
  </si>
  <si>
    <t>Verbindungselemente/intermaxillär</t>
  </si>
  <si>
    <t>742 0</t>
  </si>
  <si>
    <t>Verankerungselement</t>
  </si>
  <si>
    <t>743 0</t>
  </si>
  <si>
    <t>Einzelelement einarbeiten</t>
  </si>
  <si>
    <t>744 0</t>
  </si>
  <si>
    <t>Metallverbindung (KFO)</t>
  </si>
  <si>
    <t>Neben den Vergütungen für die einzelnen zahntechnischen Leistungen können Materialkosten unter Angabe von Art, Menge, Hersteller und Preis</t>
  </si>
  <si>
    <t>wie folgt abgerechnet werden:</t>
  </si>
  <si>
    <t>a)  Kosten für künstliche Zähne  (Listenpreis des Zahnherstellers für den Einzelzahn zzgl. eines Aufschlages von 15 %)</t>
  </si>
  <si>
    <t>b)  Kosten für Konfektionsfertigteile  (berechnungsfähig sind die am Tage der Rechnungslegung gültigen Preise der Lieferfirmen</t>
  </si>
  <si>
    <t xml:space="preserve">     zzgl. eines Zuschlages von 7 %)</t>
  </si>
  <si>
    <t>c)  Kosten für edelmetallhaltige Dentallegierungen  (Listenpreis der Scheideanstalt am Liefertag zzgl. eines Aufschlages von 5 %;</t>
  </si>
  <si>
    <t xml:space="preserve">     Berechnungsgrundlage ist das Gewicht des Rohlings)</t>
  </si>
  <si>
    <t>d)  Kosten für Weich- und Sonderkunststoffe  (je Prothese 17,90 EUR Materialkosten abrechnungsfähig)</t>
  </si>
  <si>
    <t>Die Kosten für sonstige Materialien sind mit den Vergütungen für die einzelnen Leistungen abgegolten.</t>
  </si>
  <si>
    <t>004</t>
  </si>
  <si>
    <t>005</t>
  </si>
  <si>
    <t>006</t>
  </si>
  <si>
    <t>Aufbissbehelf mit adjustierter Oberfläche</t>
  </si>
  <si>
    <t>Rechnung Nr.</t>
  </si>
  <si>
    <t>Rechnung</t>
  </si>
  <si>
    <t>XML:</t>
  </si>
  <si>
    <t>Das Leistungsdatum entspricht dem Rechnungsdatum.</t>
  </si>
  <si>
    <t>Zahnarztpraxis Dr. Atef Eltiri</t>
  </si>
  <si>
    <t>Bernulfstraße 7</t>
  </si>
  <si>
    <t>12524 Berlin</t>
  </si>
  <si>
    <t>01.019</t>
  </si>
  <si>
    <t>Schwan Dental, Waldstraße 12, 15741 Bestensee, Deutschland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</si>
</sst>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8" formatCode="#,##0.00\ &quot;€&quot;;[Red]\-#,##0.00\ &quot;€&quot;"/>
    <numFmt numFmtId="43" formatCode="_-* #,##0.00\ _€_-;\-* #,##0.00\ _€_-;_-* &quot;-&quot;??\ _€_-;_-@_-"/>
    <numFmt numFmtId="164" formatCode="#,##0.00\ &quot;€&quot;"/>
    <numFmt numFmtId="165" formatCode="[$-407]dd/mm/yyyy"/>
    <numFmt numFmtId="166" formatCode="General_)"/>
  </numFmts>
  <fonts count="38" x14ac:knownFonts="1">
    <font>
      <sz val="12"/>
      <color theme="1"/>
      <name val="Calibri"/>
      <family val="2"/>
      <scheme val="minor"/>
    </font>
    <font>
      <sz val="12"/>
      <color theme="1"/>
      <name val="Cambria"/>
      <family val="1"/>
    </font>
    <font>
      <sz val="9"/>
      <color theme="1"/>
      <name val="Cambria"/>
      <family val="1"/>
    </font>
    <font>
      <sz val="10"/>
      <color theme="1"/>
      <name val="Cambria"/>
      <family val="1"/>
    </font>
    <font>
      <b/>
      <sz val="12"/>
      <color theme="1"/>
      <name val="Cambria"/>
      <family val="1"/>
    </font>
    <font>
      <b/>
      <sz val="10"/>
      <color theme="1"/>
      <name val="Cambria"/>
      <family val="1"/>
    </font>
    <font>
      <sz val="8"/>
      <color theme="1"/>
      <name val="Cambria"/>
      <family val="1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mbria"/>
      <family val="1"/>
      <scheme val="major"/>
    </font>
    <font>
      <sz val="8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sz val="9"/>
      <color theme="1"/>
      <name val="Myriad Pro Light"/>
      <family val="2"/>
    </font>
    <font>
      <sz val="7.5"/>
      <color theme="1"/>
      <name val="Myriad Pro"/>
      <family val="2"/>
    </font>
    <font>
      <sz val="12"/>
      <color rgb="FF7F7F7F"/>
      <name val="Calibri"/>
      <family val="2"/>
      <scheme val="minor"/>
    </font>
    <font>
      <sz val="7.5"/>
      <color rgb="FF7F7F7F"/>
      <name val="Myriad Pro"/>
      <family val="2"/>
    </font>
    <font>
      <sz val="10"/>
      <color rgb="FF000000"/>
      <name val="Myriad Pro"/>
      <family val="2"/>
    </font>
    <font>
      <sz val="10"/>
      <color theme="1"/>
      <name val="Myriad Pro"/>
      <family val="2"/>
    </font>
    <font>
      <b/>
      <sz val="7.5"/>
      <color rgb="FF7F7F7F"/>
      <name val="Myriad Pro"/>
      <family val="2"/>
    </font>
    <font>
      <b/>
      <sz val="12"/>
      <color theme="1"/>
      <name val="Myriad Pro Light"/>
      <family val="2"/>
    </font>
    <font>
      <b/>
      <sz val="9"/>
      <color theme="1"/>
      <name val="Myriad Pro Light"/>
      <family val="2"/>
    </font>
    <font>
      <sz val="12"/>
      <color theme="1"/>
      <name val="Calibri"/>
      <family val="2"/>
      <scheme val="minor"/>
    </font>
    <font>
      <b/>
      <sz val="28"/>
      <name val="Arial"/>
      <family val="2"/>
    </font>
    <font>
      <b/>
      <sz val="14"/>
      <name val="Arial"/>
      <family val="2"/>
    </font>
    <font>
      <b/>
      <sz val="19"/>
      <name val="Arial"/>
      <family val="2"/>
    </font>
    <font>
      <sz val="20"/>
      <name val="Arial"/>
      <family val="2"/>
    </font>
    <font>
      <i/>
      <sz val="14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Symbol"/>
      <family val="1"/>
      <charset val="2"/>
    </font>
    <font>
      <sz val="9"/>
      <name val="Arial"/>
      <family val="2"/>
    </font>
    <font>
      <b/>
      <sz val="7.5"/>
      <color theme="1"/>
      <name val="Myriad Pro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6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43" fontId="21" fillId="0" borderId="0" applyFont="0" applyFill="0" applyBorder="0" applyAlignment="0" applyProtection="0"/>
  </cellStyleXfs>
  <cellXfs count="94">
    <xf numFmtId="0" fontId="0" fillId="0" borderId="0" xfId="0"/>
    <xf numFmtId="0" fontId="1" fillId="0" borderId="0" xfId="0" applyFont="1" applyAlignment="1">
      <alignment horizontal="left" vertical="center" indent="15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3" fillId="0" borderId="0" xfId="0" applyFont="1" applyAlignment="1">
      <alignment horizontal="justify" vertical="center"/>
    </xf>
    <xf numFmtId="0" fontId="5" fillId="0" borderId="0" xfId="0" applyFont="1" applyAlignment="1">
      <alignment vertical="center"/>
    </xf>
    <xf numFmtId="8" fontId="3" fillId="0" borderId="0" xfId="0" applyNumberFormat="1" applyFont="1" applyAlignment="1">
      <alignment vertical="center"/>
    </xf>
    <xf numFmtId="8" fontId="4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 applyAlignment="1">
      <alignment vertical="center"/>
    </xf>
    <xf numFmtId="0" fontId="20" fillId="2" borderId="0" xfId="0" applyFont="1" applyFill="1" applyAlignment="1">
      <alignment vertical="center"/>
    </xf>
    <xf numFmtId="0" fontId="20" fillId="2" borderId="0" xfId="0" applyFont="1" applyFill="1"/>
    <xf numFmtId="0" fontId="20" fillId="2" borderId="0" xfId="0" applyFont="1" applyFill="1" applyAlignment="1">
      <alignment horizontal="right"/>
    </xf>
    <xf numFmtId="0" fontId="12" fillId="0" borderId="0" xfId="0" applyFont="1" applyAlignment="1">
      <alignment horizontal="left"/>
    </xf>
    <xf numFmtId="2" fontId="12" fillId="0" borderId="0" xfId="0" applyNumberFormat="1" applyFont="1"/>
    <xf numFmtId="164" fontId="12" fillId="0" borderId="0" xfId="0" applyNumberFormat="1" applyFont="1"/>
    <xf numFmtId="8" fontId="12" fillId="0" borderId="0" xfId="0" applyNumberFormat="1" applyFont="1"/>
    <xf numFmtId="8" fontId="20" fillId="0" borderId="0" xfId="0" applyNumberFormat="1" applyFont="1" applyAlignment="1">
      <alignment vertical="center"/>
    </xf>
    <xf numFmtId="0" fontId="12" fillId="0" borderId="0" xfId="0" applyFont="1" applyAlignment="1">
      <alignment horizontal="right"/>
    </xf>
    <xf numFmtId="0" fontId="13" fillId="0" borderId="0" xfId="0" applyFont="1" applyAlignment="1">
      <alignment vertical="center"/>
    </xf>
    <xf numFmtId="165" fontId="17" fillId="0" borderId="0" xfId="0" applyNumberFormat="1" applyFont="1"/>
    <xf numFmtId="0" fontId="17" fillId="0" borderId="0" xfId="0" applyFont="1" applyAlignment="1">
      <alignment horizontal="right"/>
    </xf>
    <xf numFmtId="49" fontId="17" fillId="0" borderId="0" xfId="0" quotePrefix="1" applyNumberFormat="1" applyFont="1" applyAlignment="1">
      <alignment horizontal="right"/>
    </xf>
    <xf numFmtId="49" fontId="12" fillId="0" borderId="0" xfId="0" applyNumberFormat="1" applyFont="1" applyAlignment="1">
      <alignment horizontal="left"/>
    </xf>
    <xf numFmtId="0" fontId="27" fillId="0" borderId="0" xfId="0" applyFont="1" applyBorder="1" applyAlignment="1">
      <alignment horizontal="left" vertical="center"/>
    </xf>
    <xf numFmtId="0" fontId="25" fillId="0" borderId="0" xfId="0" applyFont="1" applyBorder="1" applyAlignment="1">
      <alignment horizontal="justify" vertical="center"/>
    </xf>
    <xf numFmtId="0" fontId="28" fillId="0" borderId="0" xfId="0" applyFont="1" applyBorder="1" applyAlignment="1">
      <alignment horizontal="justify" vertical="center"/>
    </xf>
    <xf numFmtId="2" fontId="29" fillId="0" borderId="0" xfId="0" applyNumberFormat="1" applyFont="1" applyBorder="1" applyAlignment="1">
      <alignment horizontal="center" vertical="center" wrapText="1"/>
    </xf>
    <xf numFmtId="0" fontId="29" fillId="0" borderId="0" xfId="0" applyFont="1" applyBorder="1" applyAlignment="1">
      <alignment horizontal="left" vertical="center" wrapText="1"/>
    </xf>
    <xf numFmtId="2" fontId="30" fillId="0" borderId="1" xfId="0" applyNumberFormat="1" applyFont="1" applyFill="1" applyBorder="1" applyAlignment="1">
      <alignment horizontal="center" vertical="center" wrapText="1"/>
    </xf>
    <xf numFmtId="2" fontId="30" fillId="2" borderId="1" xfId="0" applyNumberFormat="1" applyFont="1" applyFill="1" applyBorder="1" applyAlignment="1">
      <alignment horizontal="center" vertical="center" wrapText="1"/>
    </xf>
    <xf numFmtId="0" fontId="29" fillId="2" borderId="0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2" fontId="30" fillId="0" borderId="1" xfId="35" applyNumberFormat="1" applyFont="1" applyBorder="1" applyAlignment="1">
      <alignment horizontal="center" vertical="center" wrapText="1"/>
    </xf>
    <xf numFmtId="2" fontId="30" fillId="2" borderId="1" xfId="35" applyNumberFormat="1" applyFont="1" applyFill="1" applyBorder="1" applyAlignment="1">
      <alignment horizontal="center" vertical="center" wrapText="1"/>
    </xf>
    <xf numFmtId="2" fontId="30" fillId="0" borderId="0" xfId="35" applyNumberFormat="1" applyFont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33" fillId="0" borderId="5" xfId="0" applyFont="1" applyBorder="1" applyAlignment="1">
      <alignment horizontal="center" vertical="center" textRotation="90"/>
    </xf>
    <xf numFmtId="166" fontId="28" fillId="0" borderId="6" xfId="0" applyNumberFormat="1" applyFont="1" applyBorder="1" applyAlignment="1" applyProtection="1">
      <alignment horizontal="center" vertical="center"/>
    </xf>
    <xf numFmtId="0" fontId="33" fillId="0" borderId="7" xfId="0" applyFont="1" applyBorder="1" applyAlignment="1">
      <alignment horizontal="center" vertical="center" textRotation="90"/>
    </xf>
    <xf numFmtId="0" fontId="34" fillId="0" borderId="8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/>
    </xf>
    <xf numFmtId="0" fontId="34" fillId="2" borderId="8" xfId="0" applyFont="1" applyFill="1" applyBorder="1" applyAlignment="1">
      <alignment horizontal="center" vertical="center"/>
    </xf>
    <xf numFmtId="2" fontId="28" fillId="0" borderId="0" xfId="0" applyNumberFormat="1" applyFont="1" applyBorder="1" applyAlignment="1">
      <alignment horizontal="center" vertical="center"/>
    </xf>
    <xf numFmtId="166" fontId="28" fillId="0" borderId="7" xfId="0" applyNumberFormat="1" applyFont="1" applyBorder="1" applyAlignment="1" applyProtection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8" fillId="0" borderId="9" xfId="0" applyFont="1" applyBorder="1" applyAlignment="1">
      <alignment horizontal="left" vertical="center"/>
    </xf>
    <xf numFmtId="2" fontId="28" fillId="0" borderId="9" xfId="0" applyNumberFormat="1" applyFont="1" applyBorder="1" applyAlignment="1">
      <alignment horizontal="justify" vertical="center"/>
    </xf>
    <xf numFmtId="2" fontId="28" fillId="0" borderId="9" xfId="0" applyNumberFormat="1" applyFont="1" applyBorder="1" applyAlignment="1">
      <alignment horizontal="right" vertical="center"/>
    </xf>
    <xf numFmtId="2" fontId="28" fillId="2" borderId="9" xfId="0" applyNumberFormat="1" applyFont="1" applyFill="1" applyBorder="1" applyAlignment="1">
      <alignment horizontal="right" vertical="center"/>
    </xf>
    <xf numFmtId="2" fontId="28" fillId="0" borderId="0" xfId="0" applyNumberFormat="1" applyFont="1" applyFill="1" applyBorder="1" applyAlignment="1">
      <alignment horizontal="center" vertical="center"/>
    </xf>
    <xf numFmtId="0" fontId="28" fillId="0" borderId="9" xfId="0" applyFont="1" applyFill="1" applyBorder="1" applyAlignment="1">
      <alignment horizontal="center" vertical="center"/>
    </xf>
    <xf numFmtId="0" fontId="28" fillId="0" borderId="9" xfId="0" applyFont="1" applyFill="1" applyBorder="1" applyAlignment="1">
      <alignment horizontal="left" vertical="center"/>
    </xf>
    <xf numFmtId="2" fontId="28" fillId="0" borderId="9" xfId="0" applyNumberFormat="1" applyFont="1" applyFill="1" applyBorder="1" applyAlignment="1">
      <alignment horizontal="justify" vertical="center"/>
    </xf>
    <xf numFmtId="2" fontId="28" fillId="0" borderId="9" xfId="0" applyNumberFormat="1" applyFont="1" applyFill="1" applyBorder="1" applyAlignment="1">
      <alignment horizontal="right" vertical="center"/>
    </xf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2" fontId="28" fillId="0" borderId="1" xfId="0" applyNumberFormat="1" applyFont="1" applyBorder="1" applyAlignment="1">
      <alignment horizontal="justify" vertical="center"/>
    </xf>
    <xf numFmtId="2" fontId="28" fillId="0" borderId="1" xfId="0" applyNumberFormat="1" applyFont="1" applyBorder="1" applyAlignment="1">
      <alignment horizontal="right" vertical="center"/>
    </xf>
    <xf numFmtId="0" fontId="28" fillId="0" borderId="1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left" vertical="center"/>
    </xf>
    <xf numFmtId="2" fontId="28" fillId="0" borderId="1" xfId="0" applyNumberFormat="1" applyFont="1" applyFill="1" applyBorder="1" applyAlignment="1">
      <alignment horizontal="justify" vertical="center"/>
    </xf>
    <xf numFmtId="2" fontId="28" fillId="0" borderId="1" xfId="0" applyNumberFormat="1" applyFont="1" applyFill="1" applyBorder="1" applyAlignment="1">
      <alignment horizontal="right" vertical="center"/>
    </xf>
    <xf numFmtId="43" fontId="28" fillId="0" borderId="1" xfId="35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right" vertical="center"/>
    </xf>
    <xf numFmtId="0" fontId="28" fillId="0" borderId="1" xfId="0" applyFont="1" applyBorder="1" applyAlignment="1">
      <alignment horizontal="justify" vertical="center"/>
    </xf>
    <xf numFmtId="0" fontId="28" fillId="0" borderId="1" xfId="0" applyFont="1" applyFill="1" applyBorder="1" applyAlignment="1">
      <alignment horizontal="justify" vertical="center"/>
    </xf>
    <xf numFmtId="2" fontId="31" fillId="0" borderId="1" xfId="0" applyNumberFormat="1" applyFont="1" applyFill="1" applyBorder="1" applyAlignment="1">
      <alignment horizontal="right" vertical="center"/>
    </xf>
    <xf numFmtId="2" fontId="35" fillId="2" borderId="1" xfId="0" applyNumberFormat="1" applyFont="1" applyFill="1" applyBorder="1" applyAlignment="1">
      <alignment horizontal="center" vertical="center"/>
    </xf>
    <xf numFmtId="2" fontId="28" fillId="2" borderId="1" xfId="0" applyNumberFormat="1" applyFont="1" applyFill="1" applyBorder="1" applyAlignment="1">
      <alignment horizontal="right" vertical="center"/>
    </xf>
    <xf numFmtId="0" fontId="28" fillId="0" borderId="0" xfId="0" applyFont="1" applyFill="1" applyBorder="1" applyAlignment="1">
      <alignment horizontal="justify" vertical="center"/>
    </xf>
    <xf numFmtId="2" fontId="28" fillId="0" borderId="0" xfId="0" applyNumberFormat="1" applyFont="1" applyFill="1" applyBorder="1" applyAlignment="1">
      <alignment horizontal="right" vertical="center"/>
    </xf>
    <xf numFmtId="0" fontId="28" fillId="0" borderId="0" xfId="0" applyFont="1" applyBorder="1" applyAlignment="1">
      <alignment horizontal="center" vertical="center"/>
    </xf>
    <xf numFmtId="49" fontId="12" fillId="0" borderId="0" xfId="0" applyNumberFormat="1" applyFont="1"/>
    <xf numFmtId="0" fontId="37" fillId="0" borderId="0" xfId="0" applyFont="1" applyAlignment="1">
      <alignment vertical="center"/>
    </xf>
    <xf numFmtId="0" fontId="36" fillId="0" borderId="0" xfId="0" applyFont="1" applyAlignment="1">
      <alignment horizontal="left" vertical="center"/>
    </xf>
    <xf numFmtId="0" fontId="22" fillId="0" borderId="0" xfId="0" applyFont="1" applyFill="1" applyBorder="1" applyAlignment="1">
      <alignment horizontal="left" vertical="center"/>
    </xf>
    <xf numFmtId="0" fontId="24" fillId="0" borderId="0" xfId="0" applyFont="1" applyBorder="1" applyAlignment="1">
      <alignment horizontal="left" vertical="center"/>
    </xf>
    <xf numFmtId="0" fontId="25" fillId="0" borderId="0" xfId="0" applyFont="1" applyFill="1" applyBorder="1" applyAlignment="1">
      <alignment horizontal="left" vertical="center"/>
    </xf>
    <xf numFmtId="0" fontId="26" fillId="0" borderId="0" xfId="0" applyFont="1" applyBorder="1" applyAlignment="1">
      <alignment horizontal="left" vertical="center"/>
    </xf>
    <xf numFmtId="0" fontId="36" fillId="0" borderId="0" xfId="0" applyFont="1" applyBorder="1" applyAlignment="1">
      <alignment horizontal="left" vertical="center"/>
    </xf>
  </cellXfs>
  <cellStyles count="36">
    <cellStyle name="Besuchter Hyperlink" xfId="2" builtinId="9" hidden="1"/>
    <cellStyle name="Besuchter Hyperlink" xfId="4" builtinId="9" hidden="1"/>
    <cellStyle name="Besuchter Hyperlink" xfId="6" builtinId="9" hidden="1"/>
    <cellStyle name="Besuchter Hyperlink" xfId="8" builtinId="9" hidden="1"/>
    <cellStyle name="Besuchter Hyperlink" xfId="10" builtinId="9" hidden="1"/>
    <cellStyle name="Besuchter Hyperlink" xfId="12" builtinId="9" hidden="1"/>
    <cellStyle name="Besuchter Hyperlink" xfId="14" builtinId="9" hidden="1"/>
    <cellStyle name="Besuchter Hyperlink" xfId="16" builtinId="9" hidden="1"/>
    <cellStyle name="Besuchter Hyperlink" xfId="18" builtinId="9" hidden="1"/>
    <cellStyle name="Besuchter Hyperlink" xfId="20" builtinId="9" hidden="1"/>
    <cellStyle name="Besuchter Hyperlink" xfId="22" builtinId="9" hidden="1"/>
    <cellStyle name="Besuchter Hyperlink" xfId="24" builtinId="9" hidden="1"/>
    <cellStyle name="Besuchter Hyperlink" xfId="26" builtinId="9" hidden="1"/>
    <cellStyle name="Besuchter Hyperlink" xfId="28" builtinId="9" hidden="1"/>
    <cellStyle name="Besuchter Hyperlink" xfId="30" builtinId="9" hidden="1"/>
    <cellStyle name="Besuchter Hyperlink" xfId="32" builtinId="9" hidden="1"/>
    <cellStyle name="Besuchter Hyperlink" xfId="34" builtinId="9" hidden="1"/>
    <cellStyle name="Komma" xfId="35" builtinId="3"/>
    <cellStyle name="Link" xfId="1" builtinId="8" hidden="1"/>
    <cellStyle name="Link" xfId="3" builtinId="8" hidden="1"/>
    <cellStyle name="Link" xfId="5" builtinId="8" hidden="1"/>
    <cellStyle name="Link" xfId="7" builtinId="8" hidden="1"/>
    <cellStyle name="Link" xfId="9" builtinId="8" hidden="1"/>
    <cellStyle name="Link" xfId="11" builtinId="8" hidden="1"/>
    <cellStyle name="Link" xfId="13" builtinId="8" hidden="1"/>
    <cellStyle name="Link" xfId="15" builtinId="8" hidden="1"/>
    <cellStyle name="Link" xfId="17" builtinId="8" hidden="1"/>
    <cellStyle name="Link" xfId="19" builtinId="8" hidden="1"/>
    <cellStyle name="Link" xfId="21" builtinId="8" hidden="1"/>
    <cellStyle name="Link" xfId="23" builtinId="8" hidden="1"/>
    <cellStyle name="Link" xfId="25" builtinId="8" hidden="1"/>
    <cellStyle name="Link" xfId="27" builtinId="8" hidden="1"/>
    <cellStyle name="Link" xfId="29" builtinId="8" hidden="1"/>
    <cellStyle name="Link" xfId="31" builtinId="8" hidden="1"/>
    <cellStyle name="Link" xfId="33" builtinId="8" hidden="1"/>
    <cellStyle name="Standard" xfId="0" builtinId="0"/>
  </cellStyles>
  <dxfs count="0"/>
  <tableStyles count="0" defaultTableStyle="TableStyleMedium9" defaultPivotStyle="PivotStyleMedium4"/>
  <colors>
    <mruColors>
      <color rgb="FF7F7F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55553</xdr:colOff>
      <xdr:row>0</xdr:row>
      <xdr:rowOff>0</xdr:rowOff>
    </xdr:from>
    <xdr:to>
      <xdr:col>7</xdr:col>
      <xdr:colOff>48256</xdr:colOff>
      <xdr:row>2</xdr:row>
      <xdr:rowOff>127187</xdr:rowOff>
    </xdr:to>
    <xdr:pic>
      <xdr:nvPicPr>
        <xdr:cNvPr id="7" name="Grafik 6"/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78000" contrast="-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53" y="0"/>
          <a:ext cx="5758354" cy="493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tabSelected="1" view="pageLayout" zoomScale="115" zoomScaleNormal="115" zoomScalePageLayoutView="115" workbookViewId="0">
      <selection activeCell="G16" sqref="G16"/>
    </sheetView>
  </sheetViews>
  <sheetFormatPr baseColWidth="10" defaultRowHeight="15.75" x14ac:dyDescent="0.25"/>
  <cols>
    <col min="1" max="1" width="4.625" customWidth="1"/>
    <col min="4" max="4" width="15.75" customWidth="1"/>
    <col min="6" max="6" width="9.125" customWidth="1"/>
    <col min="7" max="7" width="13" customWidth="1"/>
  </cols>
  <sheetData>
    <row r="1" spans="1:10" ht="14.25" customHeight="1" x14ac:dyDescent="0.25">
      <c r="A1" s="1"/>
    </row>
    <row r="2" spans="1:10" ht="14.25" customHeight="1" x14ac:dyDescent="0.25">
      <c r="A2" s="1"/>
    </row>
    <row r="3" spans="1:10" ht="14.25" customHeight="1" x14ac:dyDescent="0.25">
      <c r="A3" s="2"/>
    </row>
    <row r="4" spans="1:10" ht="14.25" customHeight="1" x14ac:dyDescent="0.25">
      <c r="A4" s="2"/>
    </row>
    <row r="5" spans="1:10" ht="14.25" customHeight="1" x14ac:dyDescent="0.25">
      <c r="A5" s="2"/>
    </row>
    <row r="6" spans="1:10" ht="14.25" customHeight="1" x14ac:dyDescent="0.25">
      <c r="A6" s="2"/>
    </row>
    <row r="7" spans="1:10" ht="14.25" customHeight="1" x14ac:dyDescent="0.25">
      <c r="A7" s="15" t="s">
        <v>364</v>
      </c>
      <c r="B7" s="14"/>
      <c r="J7" s="3"/>
    </row>
    <row r="8" spans="1:10" ht="14.25" customHeight="1" x14ac:dyDescent="0.25">
      <c r="A8" s="3"/>
      <c r="B8" s="14"/>
      <c r="H8" s="3"/>
      <c r="I8" s="3"/>
      <c r="J8" s="4"/>
    </row>
    <row r="9" spans="1:10" ht="14.25" customHeight="1" x14ac:dyDescent="0.25">
      <c r="A9" s="16" t="s">
        <v>360</v>
      </c>
      <c r="E9" s="17" t="s">
        <v>5</v>
      </c>
      <c r="F9" s="17"/>
      <c r="G9" s="30"/>
      <c r="H9" s="3"/>
      <c r="I9" s="3"/>
      <c r="J9" s="4"/>
    </row>
    <row r="10" spans="1:10" ht="14.25" customHeight="1" x14ac:dyDescent="0.25">
      <c r="A10" s="16" t="s">
        <v>361</v>
      </c>
      <c r="E10" s="17" t="s">
        <v>6</v>
      </c>
      <c r="F10" s="17"/>
      <c r="G10" s="32" t="s">
        <v>363</v>
      </c>
      <c r="H10" s="3"/>
      <c r="J10" s="3"/>
    </row>
    <row r="11" spans="1:10" ht="14.25" customHeight="1" x14ac:dyDescent="0.25">
      <c r="A11" s="16" t="s">
        <v>362</v>
      </c>
      <c r="E11" s="17" t="s">
        <v>356</v>
      </c>
      <c r="F11" s="17"/>
      <c r="G11" s="32"/>
      <c r="H11" s="3"/>
      <c r="J11" s="3"/>
    </row>
    <row r="12" spans="1:10" ht="14.25" customHeight="1" x14ac:dyDescent="0.25">
      <c r="E12" s="17" t="s">
        <v>7</v>
      </c>
      <c r="F12" s="17"/>
      <c r="G12" s="31"/>
    </row>
    <row r="13" spans="1:10" ht="14.25" customHeight="1" x14ac:dyDescent="0.25">
      <c r="E13" s="17"/>
      <c r="F13" s="17"/>
      <c r="G13" s="17"/>
    </row>
    <row r="14" spans="1:10" ht="14.25" customHeight="1" x14ac:dyDescent="0.25"/>
    <row r="15" spans="1:10" ht="14.25" customHeight="1" x14ac:dyDescent="0.25">
      <c r="E15" s="17"/>
      <c r="F15" s="17"/>
      <c r="G15" s="31"/>
    </row>
    <row r="16" spans="1:10" ht="14.25" customHeight="1" x14ac:dyDescent="0.25">
      <c r="A16" s="19" t="s">
        <v>357</v>
      </c>
      <c r="E16" s="17" t="s">
        <v>358</v>
      </c>
      <c r="F16" s="17"/>
      <c r="G16" s="31"/>
    </row>
    <row r="17" spans="1:11" ht="14.25" customHeight="1" x14ac:dyDescent="0.25">
      <c r="A17" s="5"/>
    </row>
    <row r="18" spans="1:11" ht="14.25" customHeight="1" x14ac:dyDescent="0.25">
      <c r="A18" s="5"/>
    </row>
    <row r="19" spans="1:11" s="12" customFormat="1" ht="14.25" customHeight="1" x14ac:dyDescent="0.2">
      <c r="A19" s="20" t="s">
        <v>0</v>
      </c>
      <c r="B19" s="20" t="s">
        <v>13</v>
      </c>
      <c r="C19" s="21" t="s">
        <v>1</v>
      </c>
      <c r="D19" s="21"/>
      <c r="E19" s="22" t="s">
        <v>2</v>
      </c>
      <c r="F19" s="22" t="s">
        <v>3</v>
      </c>
      <c r="G19" s="22" t="s">
        <v>4</v>
      </c>
    </row>
    <row r="20" spans="1:11" ht="14.25" customHeight="1" x14ac:dyDescent="0.25">
      <c r="A20" s="3"/>
      <c r="K20" s="7"/>
    </row>
    <row r="21" spans="1:11" s="12" customFormat="1" ht="14.25" customHeight="1" x14ac:dyDescent="0.2">
      <c r="A21" s="33" t="s">
        <v>14</v>
      </c>
      <c r="B21" s="33" t="s">
        <v>30</v>
      </c>
      <c r="C21" s="12" t="s">
        <v>31</v>
      </c>
      <c r="E21" s="24">
        <v>3</v>
      </c>
      <c r="F21" s="25">
        <v>8.49</v>
      </c>
      <c r="G21" s="26">
        <f t="shared" ref="G21:G26" si="0">E21*F21</f>
        <v>25.47</v>
      </c>
    </row>
    <row r="22" spans="1:11" s="26" customFormat="1" ht="14.25" customHeight="1" x14ac:dyDescent="0.2">
      <c r="A22" s="33" t="s">
        <v>15</v>
      </c>
      <c r="B22" s="86" t="s">
        <v>38</v>
      </c>
      <c r="C22" s="26" t="s">
        <v>39</v>
      </c>
      <c r="E22" s="24">
        <v>1</v>
      </c>
      <c r="F22" s="26">
        <v>17.39</v>
      </c>
      <c r="G22" s="26">
        <f>E22*F22</f>
        <v>17.39</v>
      </c>
    </row>
    <row r="23" spans="1:11" s="26" customFormat="1" ht="14.25" customHeight="1" x14ac:dyDescent="0.2">
      <c r="A23" s="33" t="s">
        <v>16</v>
      </c>
      <c r="B23" s="86" t="s">
        <v>94</v>
      </c>
      <c r="C23" s="26" t="s">
        <v>95</v>
      </c>
      <c r="E23" s="24">
        <v>1</v>
      </c>
      <c r="F23" s="26">
        <v>12.47</v>
      </c>
      <c r="G23" s="26">
        <f t="shared" si="0"/>
        <v>12.47</v>
      </c>
    </row>
    <row r="24" spans="1:11" s="12" customFormat="1" ht="14.25" customHeight="1" x14ac:dyDescent="0.2">
      <c r="A24" s="33" t="s">
        <v>352</v>
      </c>
      <c r="B24" s="86" t="s">
        <v>246</v>
      </c>
      <c r="C24" s="12" t="s">
        <v>355</v>
      </c>
      <c r="E24" s="24">
        <v>1</v>
      </c>
      <c r="F24" s="25">
        <v>123.3</v>
      </c>
      <c r="G24" s="26">
        <f t="shared" si="0"/>
        <v>123.3</v>
      </c>
      <c r="I24" s="27"/>
    </row>
    <row r="25" spans="1:11" ht="14.25" customHeight="1" x14ac:dyDescent="0.25">
      <c r="A25" s="33" t="s">
        <v>353</v>
      </c>
      <c r="B25" s="86" t="s">
        <v>282</v>
      </c>
      <c r="C25" s="12" t="s">
        <v>283</v>
      </c>
      <c r="D25" s="12"/>
      <c r="E25" s="24">
        <v>2</v>
      </c>
      <c r="F25" s="25">
        <v>13.95</v>
      </c>
      <c r="G25" s="26">
        <f t="shared" si="0"/>
        <v>27.9</v>
      </c>
      <c r="H25" s="6"/>
      <c r="K25" s="8"/>
    </row>
    <row r="26" spans="1:11" ht="14.25" customHeight="1" x14ac:dyDescent="0.25">
      <c r="A26" s="33" t="s">
        <v>354</v>
      </c>
      <c r="B26" s="86" t="s">
        <v>324</v>
      </c>
      <c r="C26" s="12" t="s">
        <v>325</v>
      </c>
      <c r="D26" s="12"/>
      <c r="E26" s="24">
        <v>2</v>
      </c>
      <c r="F26" s="25">
        <v>7.2</v>
      </c>
      <c r="G26" s="26">
        <f t="shared" si="0"/>
        <v>14.4</v>
      </c>
      <c r="H26" s="6"/>
      <c r="K26" s="8"/>
    </row>
    <row r="27" spans="1:11" ht="14.25" customHeight="1" x14ac:dyDescent="0.25">
      <c r="A27" s="9"/>
    </row>
    <row r="28" spans="1:11" s="12" customFormat="1" ht="14.25" customHeight="1" x14ac:dyDescent="0.2">
      <c r="A28" s="23"/>
      <c r="D28" s="28" t="s">
        <v>10</v>
      </c>
      <c r="E28" s="24"/>
      <c r="F28" s="25"/>
      <c r="G28" s="26">
        <f>SUM(G21:G26)</f>
        <v>220.93</v>
      </c>
    </row>
    <row r="29" spans="1:11" s="12" customFormat="1" ht="14.25" customHeight="1" x14ac:dyDescent="0.2">
      <c r="A29" s="23"/>
      <c r="D29" s="28" t="s">
        <v>11</v>
      </c>
      <c r="E29" s="24"/>
      <c r="F29" s="25"/>
      <c r="G29" s="26">
        <f>0.07*G28</f>
        <v>15.465100000000001</v>
      </c>
    </row>
    <row r="30" spans="1:11" s="12" customFormat="1" ht="14.25" customHeight="1" x14ac:dyDescent="0.2">
      <c r="A30" s="23"/>
      <c r="D30" s="28" t="s">
        <v>12</v>
      </c>
      <c r="E30" s="24"/>
      <c r="F30" s="25"/>
      <c r="G30" s="26">
        <f>SUM(G28:G29)</f>
        <v>236.39510000000001</v>
      </c>
    </row>
    <row r="31" spans="1:11" ht="14.25" customHeight="1" x14ac:dyDescent="0.25"/>
    <row r="32" spans="1:11" s="13" customFormat="1" ht="14.25" customHeight="1" x14ac:dyDescent="0.15">
      <c r="A32" s="13" t="s">
        <v>9</v>
      </c>
    </row>
    <row r="33" spans="1:8" ht="14.25" customHeight="1" x14ac:dyDescent="0.25"/>
    <row r="34" spans="1:8" s="13" customFormat="1" ht="14.25" customHeight="1" x14ac:dyDescent="0.15">
      <c r="A34" s="29" t="s">
        <v>8</v>
      </c>
    </row>
    <row r="35" spans="1:8" ht="14.25" customHeight="1" x14ac:dyDescent="0.25">
      <c r="A35" s="10"/>
    </row>
    <row r="36" spans="1:8" ht="14.25" customHeight="1" x14ac:dyDescent="0.25">
      <c r="A36" s="87" t="s">
        <v>359</v>
      </c>
    </row>
    <row r="37" spans="1:8" ht="14.25" customHeight="1" x14ac:dyDescent="0.25"/>
    <row r="38" spans="1:8" ht="14.25" customHeight="1" x14ac:dyDescent="0.25"/>
    <row r="39" spans="1:8" ht="14.25" customHeight="1" x14ac:dyDescent="0.25">
      <c r="A39" s="18"/>
      <c r="B39" s="15"/>
      <c r="C39" s="15"/>
      <c r="E39" s="18"/>
      <c r="F39" s="15"/>
    </row>
    <row r="40" spans="1:8" ht="14.25" customHeight="1" x14ac:dyDescent="0.25">
      <c r="A40" s="15"/>
      <c r="B40" s="15"/>
      <c r="C40" s="15"/>
      <c r="E40" s="15"/>
      <c r="F40" s="15"/>
    </row>
    <row r="41" spans="1:8" ht="14.25" customHeight="1" x14ac:dyDescent="0.25">
      <c r="A41" s="15"/>
      <c r="B41" s="15"/>
      <c r="C41" s="15"/>
      <c r="E41" s="18"/>
      <c r="F41" s="15"/>
      <c r="H41" s="11"/>
    </row>
    <row r="42" spans="1:8" ht="14.25" customHeight="1" x14ac:dyDescent="0.25">
      <c r="A42" s="15"/>
      <c r="B42" s="15"/>
      <c r="C42" s="15"/>
      <c r="E42" s="15"/>
      <c r="F42" s="15"/>
      <c r="H42" s="11"/>
    </row>
    <row r="43" spans="1:8" ht="14.25" customHeight="1" x14ac:dyDescent="0.25">
      <c r="A43" s="15"/>
      <c r="B43" s="15"/>
      <c r="C43" s="15"/>
      <c r="E43" s="15"/>
      <c r="F43" s="15"/>
      <c r="H43" s="11"/>
    </row>
    <row r="44" spans="1:8" ht="14.25" customHeight="1" x14ac:dyDescent="0.25">
      <c r="A44" s="15"/>
      <c r="B44" s="15"/>
      <c r="C44" s="15"/>
      <c r="E44" s="15"/>
      <c r="F44" s="15"/>
    </row>
    <row r="45" spans="1:8" x14ac:dyDescent="0.25">
      <c r="A45" s="15"/>
      <c r="B45" s="15"/>
      <c r="C45" s="15"/>
      <c r="E45" s="15"/>
      <c r="F45" s="15"/>
    </row>
  </sheetData>
  <phoneticPr fontId="10" type="noConversion"/>
  <pageMargins left="1" right="0.83333333333333337" top="1" bottom="1" header="0.5" footer="0.5"/>
  <pageSetup paperSize="9" orientation="portrait" r:id="rId1"/>
  <headerFooter>
    <oddFooter>&amp;L&amp;7&amp;K7F7F7FSchwan Dental
Waldstraße 12, 15741 Bestensee&amp;C&amp;7&amp;K7F7F7FMBS in Potsdam
Inhaber: Fabian Schwan
IBAN: DE86 1605 0000 1000 7548 94
BIC: WELADED1PMB&amp;R&amp;7&amp;K7F7F7FInhaber: Fabian Schwan
USt-IdNr.: DE308846085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Views>
    <sheetView topLeftCell="D58" workbookViewId="0">
      <selection activeCell="N10" sqref="N10"/>
    </sheetView>
  </sheetViews>
  <sheetFormatPr baseColWidth="10" defaultRowHeight="15.75" x14ac:dyDescent="0.25"/>
  <sheetData>
    <row r="1" spans="1:13" ht="35.25" x14ac:dyDescent="0.25">
      <c r="A1" s="89" t="s">
        <v>17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3" ht="24" x14ac:dyDescent="0.25">
      <c r="A2" s="90" t="s">
        <v>18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</row>
    <row r="3" spans="1:13" ht="25.5" x14ac:dyDescent="0.25">
      <c r="A3" s="91" t="s">
        <v>19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</row>
    <row r="4" spans="1:13" ht="18.75" x14ac:dyDescent="0.25">
      <c r="A4" s="92" t="s">
        <v>20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</row>
    <row r="5" spans="1:13" ht="25.5" x14ac:dyDescent="0.25">
      <c r="A5" s="34"/>
      <c r="B5" s="35"/>
      <c r="C5" s="36"/>
      <c r="D5" s="37"/>
      <c r="E5" s="37"/>
      <c r="F5" s="37"/>
      <c r="G5" s="37"/>
      <c r="H5" s="38"/>
      <c r="I5" s="38"/>
      <c r="J5" s="38"/>
      <c r="K5" s="38"/>
      <c r="L5" s="38"/>
      <c r="M5" s="38"/>
    </row>
    <row r="6" spans="1:13" ht="25.5" x14ac:dyDescent="0.25">
      <c r="A6" s="34"/>
      <c r="B6" s="35"/>
      <c r="C6" s="36"/>
      <c r="D6" s="39" t="s">
        <v>21</v>
      </c>
      <c r="E6" s="39" t="s">
        <v>22</v>
      </c>
      <c r="F6" s="40" t="s">
        <v>23</v>
      </c>
      <c r="G6" s="37"/>
      <c r="H6" s="38"/>
      <c r="I6" s="38"/>
      <c r="J6" s="38"/>
      <c r="K6" s="39" t="s">
        <v>21</v>
      </c>
      <c r="L6" s="41"/>
      <c r="M6" s="40" t="s">
        <v>23</v>
      </c>
    </row>
    <row r="7" spans="1:13" ht="24" x14ac:dyDescent="0.25">
      <c r="A7" s="42" t="s">
        <v>24</v>
      </c>
      <c r="B7" s="43" t="s">
        <v>25</v>
      </c>
      <c r="C7" s="44"/>
      <c r="D7" s="45" t="s">
        <v>26</v>
      </c>
      <c r="E7" s="45" t="s">
        <v>27</v>
      </c>
      <c r="F7" s="46" t="s">
        <v>26</v>
      </c>
      <c r="G7" s="47"/>
      <c r="H7" s="42" t="s">
        <v>24</v>
      </c>
      <c r="I7" s="48" t="s">
        <v>25</v>
      </c>
      <c r="J7" s="49"/>
      <c r="K7" s="45" t="s">
        <v>26</v>
      </c>
      <c r="L7" s="45" t="s">
        <v>27</v>
      </c>
      <c r="M7" s="46" t="s">
        <v>26</v>
      </c>
    </row>
    <row r="8" spans="1:13" ht="16.5" thickBot="1" x14ac:dyDescent="0.3">
      <c r="A8" s="50"/>
      <c r="B8" s="51" t="s">
        <v>28</v>
      </c>
      <c r="C8" s="52"/>
      <c r="D8" s="53" t="s">
        <v>29</v>
      </c>
      <c r="E8" s="54"/>
      <c r="F8" s="55" t="s">
        <v>29</v>
      </c>
      <c r="G8" s="56"/>
      <c r="H8" s="50"/>
      <c r="I8" s="51" t="s">
        <v>28</v>
      </c>
      <c r="J8" s="57"/>
      <c r="K8" s="53" t="s">
        <v>29</v>
      </c>
      <c r="L8" s="53"/>
      <c r="M8" s="55" t="s">
        <v>29</v>
      </c>
    </row>
    <row r="9" spans="1:13" ht="16.5" thickTop="1" x14ac:dyDescent="0.25">
      <c r="A9" s="58" t="s">
        <v>30</v>
      </c>
      <c r="B9" s="59" t="s">
        <v>31</v>
      </c>
      <c r="C9" s="60"/>
      <c r="D9" s="61">
        <v>6.97</v>
      </c>
      <c r="E9" s="61" t="e">
        <f>D9*100/#REF!</f>
        <v>#REF!</v>
      </c>
      <c r="F9" s="62">
        <f>ROUND(D9*0.95,2)</f>
        <v>6.62</v>
      </c>
      <c r="G9" s="63"/>
      <c r="H9" s="64" t="s">
        <v>32</v>
      </c>
      <c r="I9" s="65" t="s">
        <v>33</v>
      </c>
      <c r="J9" s="66"/>
      <c r="K9" s="67">
        <v>17.809999999999999</v>
      </c>
      <c r="L9" s="67" t="e">
        <f>D50*100/#REF!</f>
        <v>#REF!</v>
      </c>
      <c r="M9" s="62">
        <f>ROUND(K9*0.95,2)</f>
        <v>16.920000000000002</v>
      </c>
    </row>
    <row r="10" spans="1:13" x14ac:dyDescent="0.25">
      <c r="A10" s="68" t="s">
        <v>34</v>
      </c>
      <c r="B10" s="69" t="s">
        <v>35</v>
      </c>
      <c r="C10" s="70"/>
      <c r="D10" s="71">
        <v>6.48</v>
      </c>
      <c r="E10" s="71" t="e">
        <f>D10*100/#REF!</f>
        <v>#REF!</v>
      </c>
      <c r="F10" s="62">
        <v>6.15</v>
      </c>
      <c r="G10" s="63"/>
      <c r="H10" s="72" t="s">
        <v>36</v>
      </c>
      <c r="I10" s="73" t="s">
        <v>37</v>
      </c>
      <c r="J10" s="74"/>
      <c r="K10" s="75">
        <v>53.88</v>
      </c>
      <c r="L10" s="75" t="e">
        <f>D51*100/#REF!</f>
        <v>#REF!</v>
      </c>
      <c r="M10" s="62">
        <v>51.18</v>
      </c>
    </row>
    <row r="11" spans="1:13" x14ac:dyDescent="0.25">
      <c r="A11" s="72" t="s">
        <v>38</v>
      </c>
      <c r="B11" s="73" t="s">
        <v>39</v>
      </c>
      <c r="C11" s="70"/>
      <c r="D11" s="71">
        <v>14.11</v>
      </c>
      <c r="E11" s="71"/>
      <c r="F11" s="62">
        <f>ROUND(D11*0.95,2)</f>
        <v>13.4</v>
      </c>
      <c r="G11" s="63"/>
      <c r="H11" s="72" t="s">
        <v>40</v>
      </c>
      <c r="I11" s="73" t="s">
        <v>41</v>
      </c>
      <c r="J11" s="74"/>
      <c r="K11" s="75">
        <v>63.17</v>
      </c>
      <c r="L11" s="75" t="e">
        <f>D52*100/#REF!</f>
        <v>#REF!</v>
      </c>
      <c r="M11" s="62">
        <f t="shared" ref="M11:M72" si="0">ROUND(K11*0.95,2)</f>
        <v>60.01</v>
      </c>
    </row>
    <row r="12" spans="1:13" x14ac:dyDescent="0.25">
      <c r="A12" s="68" t="s">
        <v>42</v>
      </c>
      <c r="B12" s="69" t="s">
        <v>43</v>
      </c>
      <c r="C12" s="70"/>
      <c r="D12" s="71">
        <v>14.19</v>
      </c>
      <c r="E12" s="71" t="e">
        <f>D12*100/#REF!</f>
        <v>#REF!</v>
      </c>
      <c r="F12" s="62">
        <f t="shared" ref="F12:F72" si="1">ROUND(D12*0.95,2)</f>
        <v>13.48</v>
      </c>
      <c r="G12" s="63"/>
      <c r="H12" s="72" t="s">
        <v>44</v>
      </c>
      <c r="I12" s="73" t="s">
        <v>45</v>
      </c>
      <c r="J12" s="74"/>
      <c r="K12" s="75">
        <v>275.01</v>
      </c>
      <c r="L12" s="75" t="e">
        <f>K9*100/#REF!</f>
        <v>#REF!</v>
      </c>
      <c r="M12" s="62">
        <f t="shared" si="0"/>
        <v>261.26</v>
      </c>
    </row>
    <row r="13" spans="1:13" x14ac:dyDescent="0.25">
      <c r="A13" s="68" t="s">
        <v>46</v>
      </c>
      <c r="B13" s="69" t="s">
        <v>47</v>
      </c>
      <c r="C13" s="70"/>
      <c r="D13" s="71">
        <v>14.83</v>
      </c>
      <c r="E13" s="71" t="e">
        <f>D13*100/#REF!</f>
        <v>#REF!</v>
      </c>
      <c r="F13" s="62">
        <v>14.08</v>
      </c>
      <c r="G13" s="63"/>
      <c r="H13" s="72" t="s">
        <v>48</v>
      </c>
      <c r="I13" s="73" t="s">
        <v>49</v>
      </c>
      <c r="J13" s="74"/>
      <c r="K13" s="75">
        <v>166.04</v>
      </c>
      <c r="L13" s="75" t="e">
        <f>K10*100/#REF!</f>
        <v>#REF!</v>
      </c>
      <c r="M13" s="62">
        <f t="shared" si="0"/>
        <v>157.74</v>
      </c>
    </row>
    <row r="14" spans="1:13" x14ac:dyDescent="0.25">
      <c r="A14" s="68" t="s">
        <v>50</v>
      </c>
      <c r="B14" s="69" t="s">
        <v>51</v>
      </c>
      <c r="C14" s="70"/>
      <c r="D14" s="71">
        <v>13.75</v>
      </c>
      <c r="E14" s="71" t="e">
        <f>D14*100/#REF!</f>
        <v>#REF!</v>
      </c>
      <c r="F14" s="62">
        <f t="shared" si="1"/>
        <v>13.06</v>
      </c>
      <c r="G14" s="63"/>
      <c r="H14" s="72" t="s">
        <v>52</v>
      </c>
      <c r="I14" s="73" t="s">
        <v>53</v>
      </c>
      <c r="J14" s="74"/>
      <c r="K14" s="75">
        <v>213.18</v>
      </c>
      <c r="L14" s="75" t="e">
        <f>K11*100/#REF!</f>
        <v>#REF!</v>
      </c>
      <c r="M14" s="62">
        <f t="shared" si="0"/>
        <v>202.52</v>
      </c>
    </row>
    <row r="15" spans="1:13" x14ac:dyDescent="0.25">
      <c r="A15" s="72" t="s">
        <v>54</v>
      </c>
      <c r="B15" s="73" t="s">
        <v>55</v>
      </c>
      <c r="C15" s="70"/>
      <c r="D15" s="71">
        <v>10.24</v>
      </c>
      <c r="E15" s="71" t="e">
        <f>D15*100/#REF!</f>
        <v>#REF!</v>
      </c>
      <c r="F15" s="62">
        <v>9.7200000000000006</v>
      </c>
      <c r="G15" s="63"/>
      <c r="H15" s="72" t="s">
        <v>56</v>
      </c>
      <c r="I15" s="73" t="s">
        <v>57</v>
      </c>
      <c r="J15" s="74"/>
      <c r="K15" s="75">
        <v>105.64</v>
      </c>
      <c r="L15" s="75" t="e">
        <f>K12*100/#REF!</f>
        <v>#REF!</v>
      </c>
      <c r="M15" s="62">
        <f t="shared" si="0"/>
        <v>100.36</v>
      </c>
    </row>
    <row r="16" spans="1:13" x14ac:dyDescent="0.25">
      <c r="A16" s="68" t="s">
        <v>58</v>
      </c>
      <c r="B16" s="69" t="s">
        <v>59</v>
      </c>
      <c r="C16" s="70"/>
      <c r="D16" s="71">
        <v>11.2</v>
      </c>
      <c r="E16" s="71" t="e">
        <f>D16*100/#REF!</f>
        <v>#REF!</v>
      </c>
      <c r="F16" s="62">
        <f t="shared" si="1"/>
        <v>10.64</v>
      </c>
      <c r="G16" s="63"/>
      <c r="H16" s="72" t="s">
        <v>60</v>
      </c>
      <c r="I16" s="73" t="s">
        <v>61</v>
      </c>
      <c r="J16" s="74"/>
      <c r="K16" s="75">
        <v>105.64</v>
      </c>
      <c r="L16" s="75" t="e">
        <f>K13*100/#REF!</f>
        <v>#REF!</v>
      </c>
      <c r="M16" s="62">
        <f t="shared" si="0"/>
        <v>100.36</v>
      </c>
    </row>
    <row r="17" spans="1:13" x14ac:dyDescent="0.25">
      <c r="A17" s="68" t="s">
        <v>62</v>
      </c>
      <c r="B17" s="69" t="s">
        <v>63</v>
      </c>
      <c r="C17" s="70"/>
      <c r="D17" s="71">
        <v>10.75</v>
      </c>
      <c r="E17" s="71" t="e">
        <f>D17*100/#REF!</f>
        <v>#REF!</v>
      </c>
      <c r="F17" s="62">
        <f t="shared" si="1"/>
        <v>10.210000000000001</v>
      </c>
      <c r="G17" s="63"/>
      <c r="H17" s="72" t="s">
        <v>64</v>
      </c>
      <c r="I17" s="73" t="s">
        <v>65</v>
      </c>
      <c r="J17" s="74"/>
      <c r="K17" s="75">
        <v>70.28</v>
      </c>
      <c r="L17" s="75" t="e">
        <f>K14*100/#REF!</f>
        <v>#REF!</v>
      </c>
      <c r="M17" s="62">
        <v>66.760000000000005</v>
      </c>
    </row>
    <row r="18" spans="1:13" x14ac:dyDescent="0.25">
      <c r="A18" s="68" t="s">
        <v>66</v>
      </c>
      <c r="B18" s="69" t="s">
        <v>67</v>
      </c>
      <c r="C18" s="70"/>
      <c r="D18" s="71">
        <v>10.75</v>
      </c>
      <c r="E18" s="71" t="e">
        <f>D18*100/#REF!</f>
        <v>#REF!</v>
      </c>
      <c r="F18" s="62">
        <f t="shared" si="1"/>
        <v>10.210000000000001</v>
      </c>
      <c r="G18" s="63"/>
      <c r="H18" s="72" t="s">
        <v>68</v>
      </c>
      <c r="I18" s="76" t="s">
        <v>69</v>
      </c>
      <c r="J18" s="74"/>
      <c r="K18" s="75">
        <v>72.510000000000005</v>
      </c>
      <c r="L18" s="75" t="e">
        <f>K15*100/#REF!</f>
        <v>#REF!</v>
      </c>
      <c r="M18" s="62">
        <f t="shared" si="0"/>
        <v>68.88</v>
      </c>
    </row>
    <row r="19" spans="1:13" x14ac:dyDescent="0.25">
      <c r="A19" s="72" t="s">
        <v>70</v>
      </c>
      <c r="B19" s="73" t="s">
        <v>71</v>
      </c>
      <c r="C19" s="70"/>
      <c r="D19" s="71">
        <v>10.48</v>
      </c>
      <c r="E19" s="71" t="e">
        <f>D19*100/#REF!</f>
        <v>#REF!</v>
      </c>
      <c r="F19" s="62">
        <v>9.9499999999999993</v>
      </c>
      <c r="G19" s="63"/>
      <c r="H19" s="72" t="s">
        <v>72</v>
      </c>
      <c r="I19" s="73" t="s">
        <v>73</v>
      </c>
      <c r="J19" s="74"/>
      <c r="K19" s="75">
        <v>53.44</v>
      </c>
      <c r="L19" s="75" t="e">
        <f>K16*100/#REF!</f>
        <v>#REF!</v>
      </c>
      <c r="M19" s="62">
        <f t="shared" si="0"/>
        <v>50.77</v>
      </c>
    </row>
    <row r="20" spans="1:13" x14ac:dyDescent="0.25">
      <c r="A20" s="72" t="s">
        <v>74</v>
      </c>
      <c r="B20" s="73" t="s">
        <v>75</v>
      </c>
      <c r="C20" s="74"/>
      <c r="D20" s="71">
        <v>10.75</v>
      </c>
      <c r="E20" s="71" t="e">
        <f>D20*100/#REF!</f>
        <v>#REF!</v>
      </c>
      <c r="F20" s="62">
        <f t="shared" si="1"/>
        <v>10.210000000000001</v>
      </c>
      <c r="G20" s="63"/>
      <c r="H20" s="72" t="s">
        <v>76</v>
      </c>
      <c r="I20" s="73" t="s">
        <v>77</v>
      </c>
      <c r="J20" s="74"/>
      <c r="K20" s="75">
        <v>39.270000000000003</v>
      </c>
      <c r="L20" s="75" t="e">
        <f>K17*100/#REF!</f>
        <v>#REF!</v>
      </c>
      <c r="M20" s="62">
        <v>37.299999999999997</v>
      </c>
    </row>
    <row r="21" spans="1:13" x14ac:dyDescent="0.25">
      <c r="A21" s="72" t="s">
        <v>78</v>
      </c>
      <c r="B21" s="73" t="s">
        <v>79</v>
      </c>
      <c r="C21" s="74"/>
      <c r="D21" s="71">
        <v>5.29</v>
      </c>
      <c r="E21" s="71" t="e">
        <f>D21*100/#REF!</f>
        <v>#REF!</v>
      </c>
      <c r="F21" s="62">
        <v>5.0199999999999996</v>
      </c>
      <c r="G21" s="63"/>
      <c r="H21" s="72" t="s">
        <v>80</v>
      </c>
      <c r="I21" s="73" t="s">
        <v>81</v>
      </c>
      <c r="J21" s="74"/>
      <c r="K21" s="75">
        <v>28.38</v>
      </c>
      <c r="L21" s="75" t="e">
        <f>K18*100/#REF!</f>
        <v>#REF!</v>
      </c>
      <c r="M21" s="62">
        <f t="shared" si="0"/>
        <v>26.96</v>
      </c>
    </row>
    <row r="22" spans="1:13" x14ac:dyDescent="0.25">
      <c r="A22" s="72" t="s">
        <v>82</v>
      </c>
      <c r="B22" s="73" t="s">
        <v>83</v>
      </c>
      <c r="C22" s="74"/>
      <c r="D22" s="71">
        <v>5.59</v>
      </c>
      <c r="E22" s="71" t="e">
        <f>D22*100/#REF!</f>
        <v>#REF!</v>
      </c>
      <c r="F22" s="62">
        <f t="shared" si="1"/>
        <v>5.31</v>
      </c>
      <c r="G22" s="63"/>
      <c r="H22" s="72" t="s">
        <v>84</v>
      </c>
      <c r="I22" s="73" t="s">
        <v>85</v>
      </c>
      <c r="J22" s="74"/>
      <c r="K22" s="75">
        <v>14.22</v>
      </c>
      <c r="L22" s="75" t="e">
        <f>K19*100/#REF!</f>
        <v>#REF!</v>
      </c>
      <c r="M22" s="62">
        <v>13.5</v>
      </c>
    </row>
    <row r="23" spans="1:13" x14ac:dyDescent="0.25">
      <c r="A23" s="72" t="s">
        <v>86</v>
      </c>
      <c r="B23" s="73" t="s">
        <v>87</v>
      </c>
      <c r="C23" s="74"/>
      <c r="D23" s="71">
        <v>9.11</v>
      </c>
      <c r="E23" s="71" t="e">
        <f>D23*100/#REF!</f>
        <v>#REF!</v>
      </c>
      <c r="F23" s="62">
        <f t="shared" si="1"/>
        <v>8.65</v>
      </c>
      <c r="G23" s="63"/>
      <c r="H23" s="72" t="s">
        <v>88</v>
      </c>
      <c r="I23" s="73" t="s">
        <v>89</v>
      </c>
      <c r="J23" s="74"/>
      <c r="K23" s="75">
        <v>46.36</v>
      </c>
      <c r="L23" s="75" t="e">
        <f>K20*100/#REF!</f>
        <v>#REF!</v>
      </c>
      <c r="M23" s="62">
        <f t="shared" si="0"/>
        <v>44.04</v>
      </c>
    </row>
    <row r="24" spans="1:13" x14ac:dyDescent="0.25">
      <c r="A24" s="72" t="s">
        <v>90</v>
      </c>
      <c r="B24" s="73" t="s">
        <v>91</v>
      </c>
      <c r="C24" s="74"/>
      <c r="D24" s="71">
        <v>8.9</v>
      </c>
      <c r="E24" s="71" t="e">
        <f>D24*100/#REF!</f>
        <v>#REF!</v>
      </c>
      <c r="F24" s="62">
        <v>8.4499999999999993</v>
      </c>
      <c r="G24" s="63"/>
      <c r="H24" s="72" t="s">
        <v>92</v>
      </c>
      <c r="I24" s="73" t="s">
        <v>93</v>
      </c>
      <c r="J24" s="74"/>
      <c r="K24" s="75">
        <v>15.9</v>
      </c>
      <c r="L24" s="75" t="e">
        <f>K21*100/#REF!</f>
        <v>#REF!</v>
      </c>
      <c r="M24" s="62">
        <v>15.1</v>
      </c>
    </row>
    <row r="25" spans="1:13" x14ac:dyDescent="0.25">
      <c r="A25" s="72" t="s">
        <v>94</v>
      </c>
      <c r="B25" s="73" t="s">
        <v>95</v>
      </c>
      <c r="C25" s="70"/>
      <c r="D25" s="71">
        <v>10.25</v>
      </c>
      <c r="E25" s="71" t="e">
        <f>D25*100/#REF!</f>
        <v>#REF!</v>
      </c>
      <c r="F25" s="62">
        <v>9.73</v>
      </c>
      <c r="G25" s="63"/>
      <c r="H25" s="72" t="s">
        <v>96</v>
      </c>
      <c r="I25" s="73" t="s">
        <v>97</v>
      </c>
      <c r="J25" s="74"/>
      <c r="K25" s="75">
        <v>102.65</v>
      </c>
      <c r="L25" s="75" t="e">
        <f>K22*100/#REF!</f>
        <v>#REF!</v>
      </c>
      <c r="M25" s="62">
        <f t="shared" si="0"/>
        <v>97.52</v>
      </c>
    </row>
    <row r="26" spans="1:13" x14ac:dyDescent="0.25">
      <c r="A26" s="72" t="s">
        <v>98</v>
      </c>
      <c r="B26" s="73" t="s">
        <v>99</v>
      </c>
      <c r="C26" s="70"/>
      <c r="D26" s="71">
        <v>9.56</v>
      </c>
      <c r="E26" s="71" t="e">
        <f>D26*100/#REF!</f>
        <v>#REF!</v>
      </c>
      <c r="F26" s="62">
        <f t="shared" si="1"/>
        <v>9.08</v>
      </c>
      <c r="G26" s="63"/>
      <c r="H26" s="72" t="s">
        <v>100</v>
      </c>
      <c r="I26" s="73" t="s">
        <v>101</v>
      </c>
      <c r="J26" s="74"/>
      <c r="K26" s="75">
        <v>92.87</v>
      </c>
      <c r="L26" s="75" t="e">
        <f>K23*100/#REF!</f>
        <v>#REF!</v>
      </c>
      <c r="M26" s="62">
        <f t="shared" si="0"/>
        <v>88.23</v>
      </c>
    </row>
    <row r="27" spans="1:13" x14ac:dyDescent="0.25">
      <c r="A27" s="72" t="s">
        <v>102</v>
      </c>
      <c r="B27" s="73" t="s">
        <v>103</v>
      </c>
      <c r="C27" s="77"/>
      <c r="D27" s="71">
        <v>23.45</v>
      </c>
      <c r="E27" s="71" t="e">
        <f>D27*100/#REF!</f>
        <v>#REF!</v>
      </c>
      <c r="F27" s="62">
        <v>22.27</v>
      </c>
      <c r="G27" s="63"/>
      <c r="H27" s="72" t="s">
        <v>104</v>
      </c>
      <c r="I27" s="73" t="s">
        <v>105</v>
      </c>
      <c r="J27" s="74"/>
      <c r="K27" s="75">
        <v>34.049999999999997</v>
      </c>
      <c r="L27" s="75" t="e">
        <f>K24*100/#REF!</f>
        <v>#REF!</v>
      </c>
      <c r="M27" s="62">
        <v>32.340000000000003</v>
      </c>
    </row>
    <row r="28" spans="1:13" x14ac:dyDescent="0.25">
      <c r="A28" s="72" t="s">
        <v>106</v>
      </c>
      <c r="B28" s="73" t="s">
        <v>107</v>
      </c>
      <c r="C28" s="77"/>
      <c r="D28" s="71">
        <v>9.2899999999999991</v>
      </c>
      <c r="E28" s="71" t="e">
        <f>D28*100/#REF!</f>
        <v>#REF!</v>
      </c>
      <c r="F28" s="62">
        <v>8.82</v>
      </c>
      <c r="G28" s="63"/>
      <c r="H28" s="72" t="s">
        <v>108</v>
      </c>
      <c r="I28" s="73" t="s">
        <v>109</v>
      </c>
      <c r="J28" s="74"/>
      <c r="K28" s="75">
        <v>33.19</v>
      </c>
      <c r="L28" s="75" t="e">
        <f>K25*100/#REF!</f>
        <v>#REF!</v>
      </c>
      <c r="M28" s="62">
        <f t="shared" si="0"/>
        <v>31.53</v>
      </c>
    </row>
    <row r="29" spans="1:13" x14ac:dyDescent="0.25">
      <c r="A29" s="72" t="s">
        <v>110</v>
      </c>
      <c r="B29" s="73" t="s">
        <v>111</v>
      </c>
      <c r="C29" s="77"/>
      <c r="D29" s="71">
        <v>8.64</v>
      </c>
      <c r="E29" s="71" t="e">
        <f>D29*100/#REF!</f>
        <v>#REF!</v>
      </c>
      <c r="F29" s="62">
        <v>8.1999999999999993</v>
      </c>
      <c r="G29" s="63"/>
      <c r="H29" s="72" t="s">
        <v>112</v>
      </c>
      <c r="I29" s="73" t="s">
        <v>113</v>
      </c>
      <c r="J29" s="74"/>
      <c r="K29" s="75">
        <v>76.3</v>
      </c>
      <c r="L29" s="75" t="e">
        <f>K26*100/#REF!</f>
        <v>#REF!</v>
      </c>
      <c r="M29" s="62">
        <v>72.48</v>
      </c>
    </row>
    <row r="30" spans="1:13" x14ac:dyDescent="0.25">
      <c r="A30" s="72" t="s">
        <v>114</v>
      </c>
      <c r="B30" s="73" t="s">
        <v>115</v>
      </c>
      <c r="C30" s="70"/>
      <c r="D30" s="71">
        <v>23.4</v>
      </c>
      <c r="E30" s="71" t="e">
        <f>D30*100/#REF!</f>
        <v>#REF!</v>
      </c>
      <c r="F30" s="62">
        <f t="shared" si="1"/>
        <v>22.23</v>
      </c>
      <c r="G30" s="63"/>
      <c r="H30" s="72" t="s">
        <v>116</v>
      </c>
      <c r="I30" s="73" t="s">
        <v>117</v>
      </c>
      <c r="J30" s="74"/>
      <c r="K30" s="75">
        <v>19.64</v>
      </c>
      <c r="L30" s="75" t="e">
        <f>K27*100/#REF!</f>
        <v>#REF!</v>
      </c>
      <c r="M30" s="62">
        <v>18.649999999999999</v>
      </c>
    </row>
    <row r="31" spans="1:13" x14ac:dyDescent="0.25">
      <c r="A31" s="72" t="s">
        <v>118</v>
      </c>
      <c r="B31" s="73" t="s">
        <v>119</v>
      </c>
      <c r="C31" s="70"/>
      <c r="D31" s="71">
        <v>23.4</v>
      </c>
      <c r="E31" s="71" t="e">
        <f>D31*100/#REF!</f>
        <v>#REF!</v>
      </c>
      <c r="F31" s="62">
        <f t="shared" si="1"/>
        <v>22.23</v>
      </c>
      <c r="G31" s="63"/>
      <c r="H31" s="72" t="s">
        <v>120</v>
      </c>
      <c r="I31" s="73" t="s">
        <v>121</v>
      </c>
      <c r="J31" s="74"/>
      <c r="K31" s="75">
        <v>149.22999999999999</v>
      </c>
      <c r="L31" s="75" t="e">
        <f>K28*100/#REF!</f>
        <v>#REF!</v>
      </c>
      <c r="M31" s="62">
        <f t="shared" si="0"/>
        <v>141.77000000000001</v>
      </c>
    </row>
    <row r="32" spans="1:13" x14ac:dyDescent="0.25">
      <c r="A32" s="72" t="s">
        <v>122</v>
      </c>
      <c r="B32" s="73" t="s">
        <v>123</v>
      </c>
      <c r="C32" s="70"/>
      <c r="D32" s="71">
        <v>23.4</v>
      </c>
      <c r="E32" s="71" t="e">
        <f>D32*100/#REF!</f>
        <v>#REF!</v>
      </c>
      <c r="F32" s="62">
        <f t="shared" si="1"/>
        <v>22.23</v>
      </c>
      <c r="G32" s="63"/>
      <c r="H32" s="72" t="s">
        <v>124</v>
      </c>
      <c r="I32" s="73" t="s">
        <v>125</v>
      </c>
      <c r="J32" s="74"/>
      <c r="K32" s="75">
        <v>12.14</v>
      </c>
      <c r="L32" s="75" t="e">
        <f>K29*100/#REF!</f>
        <v>#REF!</v>
      </c>
      <c r="M32" s="62">
        <f t="shared" si="0"/>
        <v>11.53</v>
      </c>
    </row>
    <row r="33" spans="1:13" x14ac:dyDescent="0.25">
      <c r="A33" s="72" t="s">
        <v>126</v>
      </c>
      <c r="B33" s="73" t="s">
        <v>127</v>
      </c>
      <c r="C33" s="70"/>
      <c r="D33" s="71">
        <v>23.4</v>
      </c>
      <c r="E33" s="71" t="e">
        <f>D33*100/#REF!</f>
        <v>#REF!</v>
      </c>
      <c r="F33" s="62">
        <f t="shared" si="1"/>
        <v>22.23</v>
      </c>
      <c r="G33" s="63"/>
      <c r="H33" s="72" t="s">
        <v>128</v>
      </c>
      <c r="I33" s="73" t="s">
        <v>129</v>
      </c>
      <c r="J33" s="74"/>
      <c r="K33" s="75">
        <v>12.14</v>
      </c>
      <c r="L33" s="75" t="e">
        <f>K30*100/#REF!</f>
        <v>#REF!</v>
      </c>
      <c r="M33" s="62">
        <f t="shared" si="0"/>
        <v>11.53</v>
      </c>
    </row>
    <row r="34" spans="1:13" x14ac:dyDescent="0.25">
      <c r="A34" s="72" t="s">
        <v>130</v>
      </c>
      <c r="B34" s="73" t="s">
        <v>131</v>
      </c>
      <c r="C34" s="70"/>
      <c r="D34" s="71">
        <v>23.4</v>
      </c>
      <c r="E34" s="71" t="e">
        <f>D34*100/#REF!</f>
        <v>#REF!</v>
      </c>
      <c r="F34" s="62">
        <f t="shared" si="1"/>
        <v>22.23</v>
      </c>
      <c r="G34" s="63"/>
      <c r="H34" s="72" t="s">
        <v>132</v>
      </c>
      <c r="I34" s="73" t="s">
        <v>133</v>
      </c>
      <c r="J34" s="74"/>
      <c r="K34" s="75">
        <v>12.14</v>
      </c>
      <c r="L34" s="75" t="e">
        <f>K31*100/#REF!</f>
        <v>#REF!</v>
      </c>
      <c r="M34" s="62">
        <f t="shared" si="0"/>
        <v>11.53</v>
      </c>
    </row>
    <row r="35" spans="1:13" x14ac:dyDescent="0.25">
      <c r="A35" s="72" t="s">
        <v>134</v>
      </c>
      <c r="B35" s="73" t="s">
        <v>135</v>
      </c>
      <c r="C35" s="70"/>
      <c r="D35" s="71">
        <v>21.66</v>
      </c>
      <c r="E35" s="71" t="e">
        <f>D35*100/#REF!</f>
        <v>#REF!</v>
      </c>
      <c r="F35" s="62">
        <v>20.57</v>
      </c>
      <c r="G35" s="63"/>
      <c r="H35" s="72" t="s">
        <v>136</v>
      </c>
      <c r="I35" s="73" t="s">
        <v>137</v>
      </c>
      <c r="J35" s="74"/>
      <c r="K35" s="75">
        <v>12.14</v>
      </c>
      <c r="L35" s="75" t="e">
        <f>K32*100/#REF!</f>
        <v>#REF!</v>
      </c>
      <c r="M35" s="62">
        <f t="shared" si="0"/>
        <v>11.53</v>
      </c>
    </row>
    <row r="36" spans="1:13" x14ac:dyDescent="0.25">
      <c r="A36" s="72" t="s">
        <v>138</v>
      </c>
      <c r="B36" s="73" t="s">
        <v>139</v>
      </c>
      <c r="C36" s="70"/>
      <c r="D36" s="71">
        <v>21.66</v>
      </c>
      <c r="E36" s="71" t="e">
        <f>D36*100/#REF!</f>
        <v>#REF!</v>
      </c>
      <c r="F36" s="62">
        <v>20.57</v>
      </c>
      <c r="G36" s="63"/>
      <c r="H36" s="72" t="s">
        <v>140</v>
      </c>
      <c r="I36" s="73" t="s">
        <v>141</v>
      </c>
      <c r="J36" s="74"/>
      <c r="K36" s="75">
        <v>12.14</v>
      </c>
      <c r="L36" s="75" t="e">
        <f>K33*100/#REF!</f>
        <v>#REF!</v>
      </c>
      <c r="M36" s="62">
        <f t="shared" si="0"/>
        <v>11.53</v>
      </c>
    </row>
    <row r="37" spans="1:13" x14ac:dyDescent="0.25">
      <c r="A37" s="72" t="s">
        <v>142</v>
      </c>
      <c r="B37" s="73" t="s">
        <v>143</v>
      </c>
      <c r="C37" s="70"/>
      <c r="D37" s="71">
        <v>6.75</v>
      </c>
      <c r="E37" s="71" t="e">
        <f>D37*100/#REF!</f>
        <v>#REF!</v>
      </c>
      <c r="F37" s="62">
        <f t="shared" si="1"/>
        <v>6.41</v>
      </c>
      <c r="G37" s="63"/>
      <c r="H37" s="72" t="s">
        <v>144</v>
      </c>
      <c r="I37" s="73" t="s">
        <v>145</v>
      </c>
      <c r="J37" s="74"/>
      <c r="K37" s="75">
        <v>22.38</v>
      </c>
      <c r="L37" s="75" t="e">
        <f>K34*100/#REF!</f>
        <v>#REF!</v>
      </c>
      <c r="M37" s="62">
        <f t="shared" si="0"/>
        <v>21.26</v>
      </c>
    </row>
    <row r="38" spans="1:13" x14ac:dyDescent="0.25">
      <c r="A38" s="68" t="s">
        <v>146</v>
      </c>
      <c r="B38" s="69" t="s">
        <v>147</v>
      </c>
      <c r="C38" s="70"/>
      <c r="D38" s="71">
        <v>6.41</v>
      </c>
      <c r="E38" s="71" t="e">
        <f>D38*100/#REF!</f>
        <v>#REF!</v>
      </c>
      <c r="F38" s="62">
        <v>6.08</v>
      </c>
      <c r="G38" s="63"/>
      <c r="H38" s="72" t="s">
        <v>148</v>
      </c>
      <c r="I38" s="73" t="s">
        <v>149</v>
      </c>
      <c r="J38" s="74"/>
      <c r="K38" s="75">
        <v>30.87</v>
      </c>
      <c r="L38" s="75" t="e">
        <f>K35*100/#REF!</f>
        <v>#REF!</v>
      </c>
      <c r="M38" s="62">
        <v>29.32</v>
      </c>
    </row>
    <row r="39" spans="1:13" x14ac:dyDescent="0.25">
      <c r="A39" s="72" t="s">
        <v>150</v>
      </c>
      <c r="B39" s="73" t="s">
        <v>151</v>
      </c>
      <c r="C39" s="70"/>
      <c r="D39" s="71">
        <v>30.06</v>
      </c>
      <c r="E39" s="71" t="e">
        <f>D39*100/#REF!</f>
        <v>#REF!</v>
      </c>
      <c r="F39" s="62">
        <v>28.55</v>
      </c>
      <c r="G39" s="63"/>
      <c r="H39" s="72" t="s">
        <v>152</v>
      </c>
      <c r="I39" s="73" t="s">
        <v>153</v>
      </c>
      <c r="J39" s="74"/>
      <c r="K39" s="75">
        <v>56.32</v>
      </c>
      <c r="L39" s="75" t="e">
        <f>K36*100/#REF!</f>
        <v>#REF!</v>
      </c>
      <c r="M39" s="62">
        <f t="shared" si="0"/>
        <v>53.5</v>
      </c>
    </row>
    <row r="40" spans="1:13" x14ac:dyDescent="0.25">
      <c r="A40" s="72" t="s">
        <v>154</v>
      </c>
      <c r="B40" s="73" t="s">
        <v>155</v>
      </c>
      <c r="C40" s="70"/>
      <c r="D40" s="71">
        <v>25.24</v>
      </c>
      <c r="E40" s="71" t="e">
        <f>D40*100/#REF!</f>
        <v>#REF!</v>
      </c>
      <c r="F40" s="62">
        <v>23.97</v>
      </c>
      <c r="G40" s="63"/>
      <c r="H40" s="72" t="s">
        <v>156</v>
      </c>
      <c r="I40" s="73" t="s">
        <v>157</v>
      </c>
      <c r="J40" s="74"/>
      <c r="K40" s="75">
        <v>39.950000000000003</v>
      </c>
      <c r="L40" s="75" t="e">
        <f>K37*100/#REF!</f>
        <v>#REF!</v>
      </c>
      <c r="M40" s="62">
        <f t="shared" si="0"/>
        <v>37.950000000000003</v>
      </c>
    </row>
    <row r="41" spans="1:13" x14ac:dyDescent="0.25">
      <c r="A41" s="72" t="s">
        <v>158</v>
      </c>
      <c r="B41" s="73" t="s">
        <v>159</v>
      </c>
      <c r="C41" s="70"/>
      <c r="D41" s="71">
        <v>33.72</v>
      </c>
      <c r="E41" s="71" t="e">
        <f>D41*100/#REF!</f>
        <v>#REF!</v>
      </c>
      <c r="F41" s="62">
        <f t="shared" si="1"/>
        <v>32.03</v>
      </c>
      <c r="G41" s="63"/>
      <c r="H41" s="72" t="s">
        <v>160</v>
      </c>
      <c r="I41" s="73" t="s">
        <v>161</v>
      </c>
      <c r="J41" s="74"/>
      <c r="K41" s="75">
        <v>38.729999999999997</v>
      </c>
      <c r="L41" s="75" t="e">
        <f>K38*100/#REF!</f>
        <v>#REF!</v>
      </c>
      <c r="M41" s="62">
        <f t="shared" si="0"/>
        <v>36.79</v>
      </c>
    </row>
    <row r="42" spans="1:13" x14ac:dyDescent="0.25">
      <c r="A42" s="68" t="s">
        <v>162</v>
      </c>
      <c r="B42" s="69" t="s">
        <v>163</v>
      </c>
      <c r="C42" s="70"/>
      <c r="D42" s="71">
        <v>18.29</v>
      </c>
      <c r="E42" s="71" t="e">
        <f>D42*100/#REF!</f>
        <v>#REF!</v>
      </c>
      <c r="F42" s="62">
        <v>17.37</v>
      </c>
      <c r="G42" s="63"/>
      <c r="H42" s="72" t="s">
        <v>164</v>
      </c>
      <c r="I42" s="73" t="s">
        <v>165</v>
      </c>
      <c r="J42" s="74"/>
      <c r="K42" s="75">
        <v>38.729999999999997</v>
      </c>
      <c r="L42" s="75" t="e">
        <f>K39*100/#REF!</f>
        <v>#REF!</v>
      </c>
      <c r="M42" s="62">
        <f t="shared" si="0"/>
        <v>36.79</v>
      </c>
    </row>
    <row r="43" spans="1:13" x14ac:dyDescent="0.25">
      <c r="A43" s="68" t="s">
        <v>166</v>
      </c>
      <c r="B43" s="69" t="s">
        <v>167</v>
      </c>
      <c r="C43" s="70"/>
      <c r="D43" s="71">
        <v>77.5</v>
      </c>
      <c r="E43" s="71" t="e">
        <f>D43*100/#REF!</f>
        <v>#REF!</v>
      </c>
      <c r="F43" s="62">
        <v>73.62</v>
      </c>
      <c r="G43" s="63"/>
      <c r="H43" s="72" t="s">
        <v>168</v>
      </c>
      <c r="I43" s="73" t="s">
        <v>169</v>
      </c>
      <c r="J43" s="74"/>
      <c r="K43" s="75">
        <v>11.21</v>
      </c>
      <c r="L43" s="75" t="e">
        <f>K40*100/#REF!</f>
        <v>#REF!</v>
      </c>
      <c r="M43" s="62">
        <f t="shared" si="0"/>
        <v>10.65</v>
      </c>
    </row>
    <row r="44" spans="1:13" x14ac:dyDescent="0.25">
      <c r="A44" s="68" t="s">
        <v>170</v>
      </c>
      <c r="B44" s="69" t="s">
        <v>171</v>
      </c>
      <c r="C44" s="70"/>
      <c r="D44" s="71">
        <v>88.26</v>
      </c>
      <c r="E44" s="71" t="e">
        <f>D44*100/#REF!</f>
        <v>#REF!</v>
      </c>
      <c r="F44" s="62">
        <f t="shared" si="1"/>
        <v>83.85</v>
      </c>
      <c r="G44" s="63"/>
      <c r="H44" s="72" t="s">
        <v>172</v>
      </c>
      <c r="I44" s="73" t="s">
        <v>173</v>
      </c>
      <c r="J44" s="74"/>
      <c r="K44" s="75">
        <v>17.89</v>
      </c>
      <c r="L44" s="75" t="e">
        <f>K41*100/#REF!</f>
        <v>#REF!</v>
      </c>
      <c r="M44" s="62">
        <v>16.989999999999998</v>
      </c>
    </row>
    <row r="45" spans="1:13" x14ac:dyDescent="0.25">
      <c r="A45" s="68" t="s">
        <v>174</v>
      </c>
      <c r="B45" s="69" t="s">
        <v>175</v>
      </c>
      <c r="C45" s="70"/>
      <c r="D45" s="71">
        <v>84.46</v>
      </c>
      <c r="E45" s="71" t="e">
        <f>D45*100/#REF!</f>
        <v>#REF!</v>
      </c>
      <c r="F45" s="62">
        <f t="shared" si="1"/>
        <v>80.239999999999995</v>
      </c>
      <c r="G45" s="63"/>
      <c r="H45" s="72" t="s">
        <v>176</v>
      </c>
      <c r="I45" s="73" t="s">
        <v>177</v>
      </c>
      <c r="J45" s="74"/>
      <c r="K45" s="75">
        <v>19.55</v>
      </c>
      <c r="L45" s="75" t="e">
        <f>K42*100/#REF!</f>
        <v>#REF!</v>
      </c>
      <c r="M45" s="62">
        <f t="shared" si="0"/>
        <v>18.57</v>
      </c>
    </row>
    <row r="46" spans="1:13" x14ac:dyDescent="0.25">
      <c r="A46" s="68" t="s">
        <v>178</v>
      </c>
      <c r="B46" s="69" t="s">
        <v>179</v>
      </c>
      <c r="C46" s="70"/>
      <c r="D46" s="71">
        <v>80.180000000000007</v>
      </c>
      <c r="E46" s="71" t="e">
        <f>D46*100/#REF!</f>
        <v>#REF!</v>
      </c>
      <c r="F46" s="62">
        <f t="shared" si="1"/>
        <v>76.17</v>
      </c>
      <c r="G46" s="63"/>
      <c r="H46" s="68" t="s">
        <v>180</v>
      </c>
      <c r="I46" s="69" t="s">
        <v>181</v>
      </c>
      <c r="J46" s="78"/>
      <c r="K46" s="71">
        <v>31.43</v>
      </c>
      <c r="L46" s="75" t="e">
        <f>K43*100/#REF!</f>
        <v>#REF!</v>
      </c>
      <c r="M46" s="62">
        <f t="shared" si="0"/>
        <v>29.86</v>
      </c>
    </row>
    <row r="47" spans="1:13" x14ac:dyDescent="0.25">
      <c r="A47" s="68" t="s">
        <v>182</v>
      </c>
      <c r="B47" s="69" t="s">
        <v>183</v>
      </c>
      <c r="C47" s="70"/>
      <c r="D47" s="71">
        <v>87.29</v>
      </c>
      <c r="E47" s="71" t="e">
        <f>D47*100/#REF!</f>
        <v>#REF!</v>
      </c>
      <c r="F47" s="62">
        <v>82.92</v>
      </c>
      <c r="G47" s="63"/>
      <c r="H47" s="68" t="s">
        <v>184</v>
      </c>
      <c r="I47" s="69" t="s">
        <v>185</v>
      </c>
      <c r="J47" s="78"/>
      <c r="K47" s="71">
        <v>28.43</v>
      </c>
      <c r="L47" s="75" t="e">
        <f>K44*100/#REF!</f>
        <v>#REF!</v>
      </c>
      <c r="M47" s="62">
        <v>27</v>
      </c>
    </row>
    <row r="48" spans="1:13" x14ac:dyDescent="0.25">
      <c r="A48" s="68" t="s">
        <v>186</v>
      </c>
      <c r="B48" s="69" t="s">
        <v>187</v>
      </c>
      <c r="C48" s="70"/>
      <c r="D48" s="71">
        <v>79.86</v>
      </c>
      <c r="E48" s="71" t="e">
        <f>D48*100/#REF!</f>
        <v>#REF!</v>
      </c>
      <c r="F48" s="62">
        <f t="shared" si="1"/>
        <v>75.87</v>
      </c>
      <c r="G48" s="63"/>
      <c r="H48" s="68" t="s">
        <v>188</v>
      </c>
      <c r="I48" s="69" t="s">
        <v>189</v>
      </c>
      <c r="J48" s="78"/>
      <c r="K48" s="71">
        <v>1.86</v>
      </c>
      <c r="L48" s="75" t="e">
        <f>K45*100/#REF!</f>
        <v>#REF!</v>
      </c>
      <c r="M48" s="62">
        <v>1.76</v>
      </c>
    </row>
    <row r="49" spans="1:13" x14ac:dyDescent="0.25">
      <c r="A49" s="68" t="s">
        <v>190</v>
      </c>
      <c r="B49" s="69" t="s">
        <v>191</v>
      </c>
      <c r="C49" s="70"/>
      <c r="D49" s="71">
        <v>79.209999999999994</v>
      </c>
      <c r="E49" s="71" t="e">
        <f>D49*100/#REF!</f>
        <v>#REF!</v>
      </c>
      <c r="F49" s="62">
        <f t="shared" si="1"/>
        <v>75.25</v>
      </c>
      <c r="G49" s="63"/>
      <c r="H49" s="68" t="s">
        <v>192</v>
      </c>
      <c r="I49" s="69" t="s">
        <v>193</v>
      </c>
      <c r="J49" s="79"/>
      <c r="K49" s="75">
        <v>1.75</v>
      </c>
      <c r="L49" s="75"/>
      <c r="M49" s="62">
        <f t="shared" si="0"/>
        <v>1.66</v>
      </c>
    </row>
    <row r="50" spans="1:13" x14ac:dyDescent="0.25">
      <c r="A50" s="72" t="s">
        <v>194</v>
      </c>
      <c r="B50" s="73" t="s">
        <v>195</v>
      </c>
      <c r="C50" s="79"/>
      <c r="D50" s="75">
        <v>13.96</v>
      </c>
      <c r="E50" s="71" t="e">
        <f>D50*100/#REF!</f>
        <v>#REF!</v>
      </c>
      <c r="F50" s="62">
        <f t="shared" si="1"/>
        <v>13.26</v>
      </c>
      <c r="G50" s="63"/>
      <c r="H50" s="68" t="s">
        <v>196</v>
      </c>
      <c r="I50" s="69" t="s">
        <v>197</v>
      </c>
      <c r="J50" s="79"/>
      <c r="K50" s="75">
        <v>2.41</v>
      </c>
      <c r="L50" s="75"/>
      <c r="M50" s="62">
        <v>2.2799999999999998</v>
      </c>
    </row>
    <row r="51" spans="1:13" x14ac:dyDescent="0.25">
      <c r="A51" s="72" t="s">
        <v>198</v>
      </c>
      <c r="B51" s="73" t="s">
        <v>199</v>
      </c>
      <c r="C51" s="79"/>
      <c r="D51" s="75">
        <v>13.67</v>
      </c>
      <c r="E51" s="71" t="e">
        <f>D51*100/#REF!</f>
        <v>#REF!</v>
      </c>
      <c r="F51" s="62">
        <v>12.98</v>
      </c>
      <c r="G51" s="63"/>
      <c r="H51" s="68" t="s">
        <v>200</v>
      </c>
      <c r="I51" s="69" t="s">
        <v>201</v>
      </c>
      <c r="J51" s="79"/>
      <c r="K51" s="75">
        <v>1.52</v>
      </c>
      <c r="L51" s="75"/>
      <c r="M51" s="62">
        <f t="shared" si="0"/>
        <v>1.44</v>
      </c>
    </row>
    <row r="52" spans="1:13" x14ac:dyDescent="0.25">
      <c r="A52" s="72" t="s">
        <v>202</v>
      </c>
      <c r="B52" s="73" t="s">
        <v>203</v>
      </c>
      <c r="C52" s="74"/>
      <c r="D52" s="75">
        <v>13.67</v>
      </c>
      <c r="E52" s="71" t="e">
        <f>D52*100/#REF!</f>
        <v>#REF!</v>
      </c>
      <c r="F52" s="62">
        <v>12.98</v>
      </c>
      <c r="G52" s="63"/>
      <c r="H52" s="68" t="s">
        <v>204</v>
      </c>
      <c r="I52" s="69" t="s">
        <v>205</v>
      </c>
      <c r="J52" s="79"/>
      <c r="K52" s="75">
        <v>52.78</v>
      </c>
      <c r="L52" s="75"/>
      <c r="M52" s="62">
        <f t="shared" si="0"/>
        <v>50.14</v>
      </c>
    </row>
    <row r="53" spans="1:13" x14ac:dyDescent="0.25">
      <c r="A53" s="68" t="s">
        <v>206</v>
      </c>
      <c r="B53" s="69" t="s">
        <v>207</v>
      </c>
      <c r="C53" s="70"/>
      <c r="D53" s="71">
        <v>47.76</v>
      </c>
      <c r="E53" s="71" t="e">
        <f>D53*100/#REF!</f>
        <v>#REF!</v>
      </c>
      <c r="F53" s="62">
        <f t="shared" si="1"/>
        <v>45.37</v>
      </c>
      <c r="G53" s="63"/>
      <c r="H53" s="72" t="s">
        <v>208</v>
      </c>
      <c r="I53" s="73" t="s">
        <v>209</v>
      </c>
      <c r="J53" s="74"/>
      <c r="K53" s="75">
        <v>8.75</v>
      </c>
      <c r="L53" s="75"/>
      <c r="M53" s="62">
        <f t="shared" si="0"/>
        <v>8.31</v>
      </c>
    </row>
    <row r="54" spans="1:13" x14ac:dyDescent="0.25">
      <c r="A54" s="68" t="s">
        <v>210</v>
      </c>
      <c r="B54" s="69" t="s">
        <v>211</v>
      </c>
      <c r="C54" s="70"/>
      <c r="D54" s="71">
        <v>3.31</v>
      </c>
      <c r="E54" s="71" t="e">
        <f>D54*100/#REF!</f>
        <v>#REF!</v>
      </c>
      <c r="F54" s="62">
        <f t="shared" si="1"/>
        <v>3.14</v>
      </c>
      <c r="G54" s="63"/>
      <c r="H54" s="72" t="s">
        <v>212</v>
      </c>
      <c r="I54" s="73" t="s">
        <v>213</v>
      </c>
      <c r="J54" s="74"/>
      <c r="K54" s="75">
        <v>14.9</v>
      </c>
      <c r="L54" s="75"/>
      <c r="M54" s="62">
        <v>14.15</v>
      </c>
    </row>
    <row r="55" spans="1:13" x14ac:dyDescent="0.25">
      <c r="A55" s="68" t="s">
        <v>214</v>
      </c>
      <c r="B55" s="69" t="s">
        <v>215</v>
      </c>
      <c r="C55" s="70"/>
      <c r="D55" s="71">
        <v>3.15</v>
      </c>
      <c r="E55" s="71" t="e">
        <f>D55*100/#REF!</f>
        <v>#REF!</v>
      </c>
      <c r="F55" s="62">
        <f t="shared" si="1"/>
        <v>2.99</v>
      </c>
      <c r="G55" s="63"/>
      <c r="H55" s="72" t="s">
        <v>216</v>
      </c>
      <c r="I55" s="73" t="s">
        <v>217</v>
      </c>
      <c r="J55" s="74"/>
      <c r="K55" s="75">
        <v>19.86</v>
      </c>
      <c r="L55" s="75"/>
      <c r="M55" s="62">
        <v>18.86</v>
      </c>
    </row>
    <row r="56" spans="1:13" x14ac:dyDescent="0.25">
      <c r="A56" s="68" t="s">
        <v>218</v>
      </c>
      <c r="B56" s="69" t="s">
        <v>219</v>
      </c>
      <c r="C56" s="70"/>
      <c r="D56" s="71">
        <v>9.98</v>
      </c>
      <c r="E56" s="71" t="e">
        <f>D56*100/#REF!</f>
        <v>#REF!</v>
      </c>
      <c r="F56" s="62">
        <f t="shared" si="1"/>
        <v>9.48</v>
      </c>
      <c r="G56" s="63"/>
      <c r="H56" s="72" t="s">
        <v>220</v>
      </c>
      <c r="I56" s="73" t="s">
        <v>221</v>
      </c>
      <c r="J56" s="74"/>
      <c r="K56" s="75">
        <v>18.88</v>
      </c>
      <c r="L56" s="75"/>
      <c r="M56" s="62">
        <v>17.93</v>
      </c>
    </row>
    <row r="57" spans="1:13" x14ac:dyDescent="0.25">
      <c r="A57" s="68" t="s">
        <v>222</v>
      </c>
      <c r="B57" s="69" t="s">
        <v>223</v>
      </c>
      <c r="C57" s="70"/>
      <c r="D57" s="71">
        <v>9.98</v>
      </c>
      <c r="E57" s="71" t="e">
        <f>D57*100/#REF!</f>
        <v>#REF!</v>
      </c>
      <c r="F57" s="62">
        <f t="shared" si="1"/>
        <v>9.48</v>
      </c>
      <c r="G57" s="63"/>
      <c r="H57" s="72" t="s">
        <v>224</v>
      </c>
      <c r="I57" s="73" t="s">
        <v>225</v>
      </c>
      <c r="J57" s="74"/>
      <c r="K57" s="75">
        <v>8.4600000000000009</v>
      </c>
      <c r="L57" s="75"/>
      <c r="M57" s="62">
        <v>8.0299999999999994</v>
      </c>
    </row>
    <row r="58" spans="1:13" x14ac:dyDescent="0.25">
      <c r="A58" s="68" t="s">
        <v>226</v>
      </c>
      <c r="B58" s="69" t="s">
        <v>227</v>
      </c>
      <c r="C58" s="70"/>
      <c r="D58" s="71">
        <v>16.850000000000001</v>
      </c>
      <c r="E58" s="71" t="e">
        <f>D58*100/#REF!</f>
        <v>#REF!</v>
      </c>
      <c r="F58" s="62">
        <v>16</v>
      </c>
      <c r="G58" s="63"/>
      <c r="H58" s="72" t="s">
        <v>228</v>
      </c>
      <c r="I58" s="73" t="s">
        <v>229</v>
      </c>
      <c r="J58" s="74"/>
      <c r="K58" s="75">
        <v>8.4600000000000009</v>
      </c>
      <c r="L58" s="75"/>
      <c r="M58" s="62">
        <v>8.0299999999999994</v>
      </c>
    </row>
    <row r="59" spans="1:13" x14ac:dyDescent="0.25">
      <c r="A59" s="68" t="s">
        <v>230</v>
      </c>
      <c r="B59" s="69" t="s">
        <v>231</v>
      </c>
      <c r="C59" s="70"/>
      <c r="D59" s="71">
        <v>53.73</v>
      </c>
      <c r="E59" s="71" t="e">
        <f>D59*100/#REF!</f>
        <v>#REF!</v>
      </c>
      <c r="F59" s="62">
        <f t="shared" si="1"/>
        <v>51.04</v>
      </c>
      <c r="G59" s="63"/>
      <c r="H59" s="72" t="s">
        <v>232</v>
      </c>
      <c r="I59" s="73" t="s">
        <v>233</v>
      </c>
      <c r="J59" s="74"/>
      <c r="K59" s="75">
        <v>8.5500000000000007</v>
      </c>
      <c r="L59" s="75"/>
      <c r="M59" s="62">
        <f t="shared" si="0"/>
        <v>8.1199999999999992</v>
      </c>
    </row>
    <row r="60" spans="1:13" x14ac:dyDescent="0.25">
      <c r="A60" s="68" t="s">
        <v>234</v>
      </c>
      <c r="B60" s="69" t="s">
        <v>235</v>
      </c>
      <c r="C60" s="70"/>
      <c r="D60" s="71">
        <v>53.73</v>
      </c>
      <c r="E60" s="71" t="e">
        <f>D60*100/#REF!</f>
        <v>#REF!</v>
      </c>
      <c r="F60" s="62">
        <f t="shared" si="1"/>
        <v>51.04</v>
      </c>
      <c r="G60" s="63"/>
      <c r="H60" s="72" t="s">
        <v>236</v>
      </c>
      <c r="I60" s="73" t="s">
        <v>237</v>
      </c>
      <c r="J60" s="74"/>
      <c r="K60" s="75">
        <v>8.4600000000000009</v>
      </c>
      <c r="L60" s="75" t="e">
        <f>K60*100/#REF!</f>
        <v>#REF!</v>
      </c>
      <c r="M60" s="62">
        <v>8.0299999999999994</v>
      </c>
    </row>
    <row r="61" spans="1:13" x14ac:dyDescent="0.25">
      <c r="A61" s="68" t="s">
        <v>238</v>
      </c>
      <c r="B61" s="69" t="s">
        <v>239</v>
      </c>
      <c r="C61" s="70"/>
      <c r="D61" s="71">
        <v>22.65</v>
      </c>
      <c r="E61" s="71" t="e">
        <f>D61*100/#REF!</f>
        <v>#REF!</v>
      </c>
      <c r="F61" s="62">
        <v>21.51</v>
      </c>
      <c r="G61" s="63"/>
      <c r="H61" s="72" t="s">
        <v>240</v>
      </c>
      <c r="I61" s="73" t="s">
        <v>241</v>
      </c>
      <c r="J61" s="74"/>
      <c r="K61" s="75">
        <v>8.4600000000000009</v>
      </c>
      <c r="L61" s="75" t="e">
        <f>K61*100/#REF!</f>
        <v>#REF!</v>
      </c>
      <c r="M61" s="62">
        <v>8.0299999999999994</v>
      </c>
    </row>
    <row r="62" spans="1:13" x14ac:dyDescent="0.25">
      <c r="A62" s="68" t="s">
        <v>242</v>
      </c>
      <c r="B62" s="69" t="s">
        <v>243</v>
      </c>
      <c r="C62" s="70"/>
      <c r="D62" s="71">
        <v>12.01</v>
      </c>
      <c r="E62" s="71" t="e">
        <f>D62*100/#REF!</f>
        <v>#REF!</v>
      </c>
      <c r="F62" s="62">
        <f t="shared" si="1"/>
        <v>11.41</v>
      </c>
      <c r="G62" s="63"/>
      <c r="H62" s="72" t="s">
        <v>244</v>
      </c>
      <c r="I62" s="73" t="s">
        <v>245</v>
      </c>
      <c r="J62" s="74"/>
      <c r="K62" s="75">
        <v>8.4600000000000009</v>
      </c>
      <c r="L62" s="75" t="e">
        <f>K62*100/#REF!</f>
        <v>#REF!</v>
      </c>
      <c r="M62" s="62">
        <v>8.0299999999999994</v>
      </c>
    </row>
    <row r="63" spans="1:13" x14ac:dyDescent="0.25">
      <c r="A63" s="68" t="s">
        <v>246</v>
      </c>
      <c r="B63" s="69" t="s">
        <v>247</v>
      </c>
      <c r="C63" s="70"/>
      <c r="D63" s="71">
        <v>87.61</v>
      </c>
      <c r="E63" s="71" t="e">
        <f>D63*100/#REF!</f>
        <v>#REF!</v>
      </c>
      <c r="F63" s="62">
        <f t="shared" si="1"/>
        <v>83.23</v>
      </c>
      <c r="G63" s="63"/>
      <c r="H63" s="72" t="s">
        <v>248</v>
      </c>
      <c r="I63" s="73" t="s">
        <v>249</v>
      </c>
      <c r="J63" s="74"/>
      <c r="K63" s="75">
        <v>8.4600000000000009</v>
      </c>
      <c r="L63" s="75" t="e">
        <f>K63*100/#REF!</f>
        <v>#REF!</v>
      </c>
      <c r="M63" s="62">
        <v>8.0299999999999994</v>
      </c>
    </row>
    <row r="64" spans="1:13" x14ac:dyDescent="0.25">
      <c r="A64" s="68" t="s">
        <v>250</v>
      </c>
      <c r="B64" s="69" t="s">
        <v>251</v>
      </c>
      <c r="C64" s="78"/>
      <c r="D64" s="71">
        <v>58.27</v>
      </c>
      <c r="E64" s="71" t="e">
        <f>D64*100/#REF!</f>
        <v>#REF!</v>
      </c>
      <c r="F64" s="62">
        <v>55.35</v>
      </c>
      <c r="G64" s="63"/>
      <c r="H64" s="72" t="s">
        <v>252</v>
      </c>
      <c r="I64" s="73" t="s">
        <v>253</v>
      </c>
      <c r="J64" s="74"/>
      <c r="K64" s="75">
        <v>36.869999999999997</v>
      </c>
      <c r="L64" s="75" t="e">
        <f>K64*100/#REF!</f>
        <v>#REF!</v>
      </c>
      <c r="M64" s="62">
        <v>35.020000000000003</v>
      </c>
    </row>
    <row r="65" spans="1:13" x14ac:dyDescent="0.25">
      <c r="A65" s="68" t="s">
        <v>254</v>
      </c>
      <c r="B65" s="69" t="s">
        <v>255</v>
      </c>
      <c r="C65" s="70"/>
      <c r="D65" s="71">
        <v>44.16</v>
      </c>
      <c r="E65" s="71" t="e">
        <f>D65*100/#REF!</f>
        <v>#REF!</v>
      </c>
      <c r="F65" s="62">
        <f t="shared" si="1"/>
        <v>41.95</v>
      </c>
      <c r="G65" s="63"/>
      <c r="H65" s="72" t="s">
        <v>256</v>
      </c>
      <c r="I65" s="73" t="s">
        <v>257</v>
      </c>
      <c r="J65" s="74"/>
      <c r="K65" s="75">
        <v>46.55</v>
      </c>
      <c r="L65" s="75" t="e">
        <f>K65*100/#REF!</f>
        <v>#REF!</v>
      </c>
      <c r="M65" s="62">
        <f t="shared" si="0"/>
        <v>44.22</v>
      </c>
    </row>
    <row r="66" spans="1:13" x14ac:dyDescent="0.25">
      <c r="A66" s="68" t="s">
        <v>258</v>
      </c>
      <c r="B66" s="69" t="s">
        <v>259</v>
      </c>
      <c r="C66" s="70"/>
      <c r="D66" s="71">
        <v>31.15</v>
      </c>
      <c r="E66" s="71" t="e">
        <f>D66*100/#REF!</f>
        <v>#REF!</v>
      </c>
      <c r="F66" s="62">
        <f t="shared" si="1"/>
        <v>29.59</v>
      </c>
      <c r="G66" s="63"/>
      <c r="H66" s="72" t="s">
        <v>260</v>
      </c>
      <c r="I66" s="73" t="s">
        <v>261</v>
      </c>
      <c r="J66" s="74"/>
      <c r="K66" s="75">
        <v>70.55</v>
      </c>
      <c r="L66" s="75" t="e">
        <f>K66*100/#REF!</f>
        <v>#REF!</v>
      </c>
      <c r="M66" s="62">
        <f t="shared" si="0"/>
        <v>67.02</v>
      </c>
    </row>
    <row r="67" spans="1:13" x14ac:dyDescent="0.25">
      <c r="A67" s="68" t="s">
        <v>262</v>
      </c>
      <c r="B67" s="69" t="s">
        <v>263</v>
      </c>
      <c r="C67" s="70"/>
      <c r="D67" s="71">
        <v>52.56</v>
      </c>
      <c r="E67" s="71" t="e">
        <f>D67*100/#REF!</f>
        <v>#REF!</v>
      </c>
      <c r="F67" s="62">
        <f t="shared" si="1"/>
        <v>49.93</v>
      </c>
      <c r="G67" s="63"/>
      <c r="H67" s="72" t="s">
        <v>264</v>
      </c>
      <c r="I67" s="73" t="s">
        <v>265</v>
      </c>
      <c r="J67" s="74"/>
      <c r="K67" s="75">
        <v>19.100000000000001</v>
      </c>
      <c r="L67" s="75" t="e">
        <f>K67*100/#REF!</f>
        <v>#REF!</v>
      </c>
      <c r="M67" s="62">
        <v>18.14</v>
      </c>
    </row>
    <row r="68" spans="1:13" x14ac:dyDescent="0.25">
      <c r="A68" s="68" t="s">
        <v>266</v>
      </c>
      <c r="B68" s="69" t="s">
        <v>267</v>
      </c>
      <c r="C68" s="70"/>
      <c r="D68" s="71">
        <v>84.44</v>
      </c>
      <c r="E68" s="71" t="e">
        <f>D68*100/#REF!</f>
        <v>#REF!</v>
      </c>
      <c r="F68" s="62">
        <f t="shared" si="1"/>
        <v>80.22</v>
      </c>
      <c r="G68" s="63"/>
      <c r="H68" s="72" t="s">
        <v>268</v>
      </c>
      <c r="I68" s="73" t="s">
        <v>269</v>
      </c>
      <c r="J68" s="74"/>
      <c r="K68" s="75">
        <v>36.130000000000003</v>
      </c>
      <c r="L68" s="75" t="e">
        <f>K68*100/#REF!</f>
        <v>#REF!</v>
      </c>
      <c r="M68" s="62">
        <f t="shared" si="0"/>
        <v>34.32</v>
      </c>
    </row>
    <row r="69" spans="1:13" x14ac:dyDescent="0.25">
      <c r="A69" s="68" t="s">
        <v>270</v>
      </c>
      <c r="B69" s="69" t="s">
        <v>271</v>
      </c>
      <c r="C69" s="70"/>
      <c r="D69" s="71">
        <v>44.45</v>
      </c>
      <c r="E69" s="71" t="e">
        <f>D69*100/#REF!</f>
        <v>#REF!</v>
      </c>
      <c r="F69" s="62">
        <v>42.22</v>
      </c>
      <c r="G69" s="63"/>
      <c r="H69" s="72" t="s">
        <v>272</v>
      </c>
      <c r="I69" s="73" t="s">
        <v>273</v>
      </c>
      <c r="J69" s="74"/>
      <c r="K69" s="75">
        <v>36.130000000000003</v>
      </c>
      <c r="L69" s="75" t="e">
        <f>K69*100/#REF!</f>
        <v>#REF!</v>
      </c>
      <c r="M69" s="62">
        <f t="shared" si="0"/>
        <v>34.32</v>
      </c>
    </row>
    <row r="70" spans="1:13" x14ac:dyDescent="0.25">
      <c r="A70" s="68" t="s">
        <v>274</v>
      </c>
      <c r="B70" s="69" t="s">
        <v>275</v>
      </c>
      <c r="C70" s="70"/>
      <c r="D70" s="71">
        <v>50.02</v>
      </c>
      <c r="E70" s="71" t="e">
        <f>D70*100/#REF!</f>
        <v>#REF!</v>
      </c>
      <c r="F70" s="62">
        <f t="shared" si="1"/>
        <v>47.52</v>
      </c>
      <c r="G70" s="63"/>
      <c r="H70" s="72" t="s">
        <v>276</v>
      </c>
      <c r="I70" s="73" t="s">
        <v>277</v>
      </c>
      <c r="J70" s="74"/>
      <c r="K70" s="75">
        <v>59.19</v>
      </c>
      <c r="L70" s="75" t="e">
        <f>K70*100/#REF!</f>
        <v>#REF!</v>
      </c>
      <c r="M70" s="62">
        <f t="shared" si="0"/>
        <v>56.23</v>
      </c>
    </row>
    <row r="71" spans="1:13" x14ac:dyDescent="0.25">
      <c r="A71" s="68" t="s">
        <v>278</v>
      </c>
      <c r="B71" s="69" t="s">
        <v>279</v>
      </c>
      <c r="C71" s="70"/>
      <c r="D71" s="71">
        <v>51.98</v>
      </c>
      <c r="E71" s="71" t="e">
        <f>D71*100/#REF!</f>
        <v>#REF!</v>
      </c>
      <c r="F71" s="62">
        <f t="shared" si="1"/>
        <v>49.38</v>
      </c>
      <c r="G71" s="63"/>
      <c r="H71" s="72" t="s">
        <v>280</v>
      </c>
      <c r="I71" s="73" t="s">
        <v>281</v>
      </c>
      <c r="J71" s="74"/>
      <c r="K71" s="75">
        <v>55.49</v>
      </c>
      <c r="L71" s="75" t="e">
        <f>K71*100/#REF!</f>
        <v>#REF!</v>
      </c>
      <c r="M71" s="62">
        <v>52.71</v>
      </c>
    </row>
    <row r="72" spans="1:13" x14ac:dyDescent="0.25">
      <c r="A72" s="68" t="s">
        <v>282</v>
      </c>
      <c r="B72" s="69" t="s">
        <v>283</v>
      </c>
      <c r="C72" s="70"/>
      <c r="D72" s="71">
        <v>10.41</v>
      </c>
      <c r="E72" s="71" t="e">
        <f>D72*100/#REF!</f>
        <v>#REF!</v>
      </c>
      <c r="F72" s="62">
        <f t="shared" si="1"/>
        <v>9.89</v>
      </c>
      <c r="G72" s="63"/>
      <c r="H72" s="72" t="s">
        <v>284</v>
      </c>
      <c r="I72" s="73" t="s">
        <v>285</v>
      </c>
      <c r="J72" s="74"/>
      <c r="K72" s="75">
        <v>70.760000000000005</v>
      </c>
      <c r="L72" s="75" t="e">
        <f>K72*100/#REF!</f>
        <v>#REF!</v>
      </c>
      <c r="M72" s="62">
        <f t="shared" si="0"/>
        <v>67.22</v>
      </c>
    </row>
    <row r="73" spans="1:13" x14ac:dyDescent="0.25">
      <c r="A73" s="68" t="s">
        <v>286</v>
      </c>
      <c r="B73" s="69" t="s">
        <v>287</v>
      </c>
      <c r="C73" s="70"/>
      <c r="D73" s="71">
        <v>18.850000000000001</v>
      </c>
      <c r="E73" s="71" t="e">
        <f>D73*100/#REF!</f>
        <v>#REF!</v>
      </c>
      <c r="F73" s="62">
        <v>17.899999999999999</v>
      </c>
      <c r="G73" s="63"/>
      <c r="H73" s="72" t="s">
        <v>288</v>
      </c>
      <c r="I73" s="73" t="s">
        <v>289</v>
      </c>
      <c r="J73" s="74"/>
      <c r="K73" s="75">
        <v>67.900000000000006</v>
      </c>
      <c r="L73" s="75" t="e">
        <f>K73*100/#REF!</f>
        <v>#REF!</v>
      </c>
      <c r="M73" s="62">
        <v>64.5</v>
      </c>
    </row>
    <row r="74" spans="1:13" x14ac:dyDescent="0.25">
      <c r="A74" s="68" t="s">
        <v>290</v>
      </c>
      <c r="B74" s="69" t="s">
        <v>291</v>
      </c>
      <c r="C74" s="70"/>
      <c r="D74" s="71">
        <v>22.73</v>
      </c>
      <c r="E74" s="71" t="e">
        <f>D74*100/#REF!</f>
        <v>#REF!</v>
      </c>
      <c r="F74" s="62">
        <f t="shared" ref="F74:F87" si="2">ROUND(D74*0.95,2)</f>
        <v>21.59</v>
      </c>
      <c r="G74" s="63"/>
      <c r="H74" s="72" t="s">
        <v>292</v>
      </c>
      <c r="I74" s="73" t="s">
        <v>293</v>
      </c>
      <c r="J74" s="74"/>
      <c r="K74" s="75">
        <v>12.4</v>
      </c>
      <c r="L74" s="75" t="e">
        <f>K74*100/#REF!</f>
        <v>#REF!</v>
      </c>
      <c r="M74" s="62">
        <f t="shared" ref="M74:M80" si="3">ROUND(K74*0.95,2)</f>
        <v>11.78</v>
      </c>
    </row>
    <row r="75" spans="1:13" x14ac:dyDescent="0.25">
      <c r="A75" s="68" t="s">
        <v>294</v>
      </c>
      <c r="B75" s="69" t="s">
        <v>295</v>
      </c>
      <c r="C75" s="70"/>
      <c r="D75" s="71">
        <v>52.57</v>
      </c>
      <c r="E75" s="71" t="e">
        <f>D75*100/#REF!</f>
        <v>#REF!</v>
      </c>
      <c r="F75" s="62">
        <f t="shared" si="2"/>
        <v>49.94</v>
      </c>
      <c r="G75" s="63"/>
      <c r="H75" s="72" t="s">
        <v>296</v>
      </c>
      <c r="I75" s="73" t="s">
        <v>297</v>
      </c>
      <c r="J75" s="74"/>
      <c r="K75" s="75">
        <v>36.39</v>
      </c>
      <c r="L75" s="75" t="e">
        <f>K75*100/#REF!</f>
        <v>#REF!</v>
      </c>
      <c r="M75" s="62">
        <f t="shared" si="3"/>
        <v>34.57</v>
      </c>
    </row>
    <row r="76" spans="1:13" x14ac:dyDescent="0.25">
      <c r="A76" s="68" t="s">
        <v>298</v>
      </c>
      <c r="B76" s="69" t="s">
        <v>299</v>
      </c>
      <c r="C76" s="70"/>
      <c r="D76" s="71">
        <v>14.82</v>
      </c>
      <c r="E76" s="71" t="e">
        <f>D76*100/#REF!</f>
        <v>#REF!</v>
      </c>
      <c r="F76" s="62">
        <v>14.07</v>
      </c>
      <c r="G76" s="63"/>
      <c r="H76" s="72" t="s">
        <v>300</v>
      </c>
      <c r="I76" s="73" t="s">
        <v>301</v>
      </c>
      <c r="J76" s="74"/>
      <c r="K76" s="75">
        <v>34.049999999999997</v>
      </c>
      <c r="L76" s="75" t="e">
        <f>K76*100/#REF!</f>
        <v>#REF!</v>
      </c>
      <c r="M76" s="62">
        <v>32.340000000000003</v>
      </c>
    </row>
    <row r="77" spans="1:13" x14ac:dyDescent="0.25">
      <c r="A77" s="68" t="s">
        <v>302</v>
      </c>
      <c r="B77" s="69" t="s">
        <v>303</v>
      </c>
      <c r="C77" s="70"/>
      <c r="D77" s="71">
        <v>22.1</v>
      </c>
      <c r="E77" s="71" t="e">
        <f>D77*100/#REF!</f>
        <v>#REF!</v>
      </c>
      <c r="F77" s="62">
        <v>20.99</v>
      </c>
      <c r="G77" s="63"/>
      <c r="H77" s="72" t="s">
        <v>304</v>
      </c>
      <c r="I77" s="73" t="s">
        <v>305</v>
      </c>
      <c r="J77" s="74"/>
      <c r="K77" s="75">
        <v>17.329999999999998</v>
      </c>
      <c r="L77" s="75" t="e">
        <f>K77*100/#REF!</f>
        <v>#REF!</v>
      </c>
      <c r="M77" s="62">
        <f t="shared" si="3"/>
        <v>16.46</v>
      </c>
    </row>
    <row r="78" spans="1:13" x14ac:dyDescent="0.25">
      <c r="A78" s="68" t="s">
        <v>306</v>
      </c>
      <c r="B78" s="69" t="s">
        <v>307</v>
      </c>
      <c r="C78" s="70"/>
      <c r="D78" s="71">
        <v>6.48</v>
      </c>
      <c r="E78" s="71" t="e">
        <f>D78*100/#REF!</f>
        <v>#REF!</v>
      </c>
      <c r="F78" s="62">
        <v>6.15</v>
      </c>
      <c r="G78" s="63"/>
      <c r="H78" s="72" t="s">
        <v>308</v>
      </c>
      <c r="I78" s="73" t="s">
        <v>309</v>
      </c>
      <c r="J78" s="74"/>
      <c r="K78" s="75">
        <v>7.37</v>
      </c>
      <c r="L78" s="75" t="e">
        <f>K78*100/#REF!</f>
        <v>#REF!</v>
      </c>
      <c r="M78" s="62">
        <f t="shared" si="3"/>
        <v>7</v>
      </c>
    </row>
    <row r="79" spans="1:13" x14ac:dyDescent="0.25">
      <c r="A79" s="68" t="s">
        <v>310</v>
      </c>
      <c r="B79" s="69" t="s">
        <v>311</v>
      </c>
      <c r="C79" s="70"/>
      <c r="D79" s="71">
        <v>20.16</v>
      </c>
      <c r="E79" s="71" t="e">
        <f>D79*100/#REF!</f>
        <v>#REF!</v>
      </c>
      <c r="F79" s="62">
        <f t="shared" si="2"/>
        <v>19.149999999999999</v>
      </c>
      <c r="G79" s="63"/>
      <c r="H79" s="72" t="s">
        <v>312</v>
      </c>
      <c r="I79" s="73" t="s">
        <v>313</v>
      </c>
      <c r="J79" s="74"/>
      <c r="K79" s="75">
        <v>11.87</v>
      </c>
      <c r="L79" s="75" t="e">
        <f>K79*100/#REF!</f>
        <v>#REF!</v>
      </c>
      <c r="M79" s="62">
        <v>11.27</v>
      </c>
    </row>
    <row r="80" spans="1:13" x14ac:dyDescent="0.25">
      <c r="A80" s="68" t="s">
        <v>314</v>
      </c>
      <c r="B80" s="69" t="s">
        <v>315</v>
      </c>
      <c r="C80" s="70"/>
      <c r="D80" s="71">
        <v>27.95</v>
      </c>
      <c r="E80" s="71" t="e">
        <f>D80*100/#REF!</f>
        <v>#REF!</v>
      </c>
      <c r="F80" s="62">
        <f t="shared" si="2"/>
        <v>26.55</v>
      </c>
      <c r="G80" s="63"/>
      <c r="H80" s="72" t="s">
        <v>316</v>
      </c>
      <c r="I80" s="73" t="s">
        <v>317</v>
      </c>
      <c r="J80" s="74"/>
      <c r="K80" s="75">
        <v>66.11</v>
      </c>
      <c r="L80" s="80" t="e">
        <f>K80*100/#REF!</f>
        <v>#REF!</v>
      </c>
      <c r="M80" s="62">
        <f t="shared" si="3"/>
        <v>62.8</v>
      </c>
    </row>
    <row r="81" spans="1:13" x14ac:dyDescent="0.25">
      <c r="A81" s="68" t="s">
        <v>318</v>
      </c>
      <c r="B81" s="69" t="s">
        <v>319</v>
      </c>
      <c r="C81" s="70"/>
      <c r="D81" s="71">
        <v>33.11</v>
      </c>
      <c r="E81" s="71" t="e">
        <f>D81*100/#REF!</f>
        <v>#REF!</v>
      </c>
      <c r="F81" s="62">
        <f t="shared" si="2"/>
        <v>31.45</v>
      </c>
      <c r="G81" s="63"/>
      <c r="H81" s="72" t="s">
        <v>320</v>
      </c>
      <c r="I81" s="73" t="s">
        <v>321</v>
      </c>
      <c r="J81" s="74"/>
      <c r="K81" s="75">
        <v>31.85</v>
      </c>
      <c r="L81" s="80" t="e">
        <f>K81*100/#REF!</f>
        <v>#REF!</v>
      </c>
      <c r="M81" s="62">
        <v>30.25</v>
      </c>
    </row>
    <row r="82" spans="1:13" x14ac:dyDescent="0.25">
      <c r="A82" s="68" t="s">
        <v>322</v>
      </c>
      <c r="B82" s="69" t="s">
        <v>323</v>
      </c>
      <c r="C82" s="70"/>
      <c r="D82" s="71">
        <v>8.77</v>
      </c>
      <c r="E82" s="71" t="e">
        <f>D82*100/#REF!</f>
        <v>#REF!</v>
      </c>
      <c r="F82" s="62">
        <f t="shared" si="2"/>
        <v>8.33</v>
      </c>
      <c r="G82" s="63"/>
      <c r="H82" s="72" t="s">
        <v>324</v>
      </c>
      <c r="I82" s="73" t="s">
        <v>325</v>
      </c>
      <c r="J82" s="74"/>
      <c r="K82" s="75">
        <v>5.94</v>
      </c>
      <c r="L82" s="75" t="e">
        <f>K82*100/#REF!</f>
        <v>#REF!</v>
      </c>
      <c r="M82" s="81" t="s">
        <v>326</v>
      </c>
    </row>
    <row r="83" spans="1:13" x14ac:dyDescent="0.25">
      <c r="A83" s="68" t="s">
        <v>327</v>
      </c>
      <c r="B83" s="69" t="s">
        <v>328</v>
      </c>
      <c r="C83" s="70"/>
      <c r="D83" s="71">
        <v>11.71</v>
      </c>
      <c r="E83" s="71" t="e">
        <f>D83*100/#REF!</f>
        <v>#REF!</v>
      </c>
      <c r="F83" s="62">
        <f t="shared" si="2"/>
        <v>11.12</v>
      </c>
      <c r="G83" s="63"/>
      <c r="H83" s="72" t="s">
        <v>329</v>
      </c>
      <c r="I83" s="73" t="s">
        <v>330</v>
      </c>
      <c r="J83" s="74"/>
      <c r="K83" s="75">
        <v>5.94</v>
      </c>
      <c r="L83" s="75" t="e">
        <f>K83*100/#REF!</f>
        <v>#REF!</v>
      </c>
      <c r="M83" s="81" t="s">
        <v>326</v>
      </c>
    </row>
    <row r="84" spans="1:13" x14ac:dyDescent="0.25">
      <c r="A84" s="72" t="s">
        <v>331</v>
      </c>
      <c r="B84" s="73" t="s">
        <v>332</v>
      </c>
      <c r="C84" s="70"/>
      <c r="D84" s="71">
        <v>24.05</v>
      </c>
      <c r="E84" s="71" t="e">
        <f>D84*100/#REF!</f>
        <v>#REF!</v>
      </c>
      <c r="F84" s="62">
        <v>22.84</v>
      </c>
      <c r="G84" s="63"/>
      <c r="H84" s="72" t="s">
        <v>333</v>
      </c>
      <c r="I84" s="73" t="s">
        <v>334</v>
      </c>
      <c r="J84" s="79"/>
      <c r="K84" s="75">
        <v>14.26</v>
      </c>
      <c r="L84" s="75" t="e">
        <f>K84*100/#REF!</f>
        <v>#REF!</v>
      </c>
      <c r="M84" s="82">
        <v>14.26</v>
      </c>
    </row>
    <row r="85" spans="1:13" x14ac:dyDescent="0.25">
      <c r="A85" s="72" t="s">
        <v>335</v>
      </c>
      <c r="B85" s="73" t="s">
        <v>336</v>
      </c>
      <c r="C85" s="70"/>
      <c r="D85" s="71">
        <v>23.74</v>
      </c>
      <c r="E85" s="71" t="e">
        <f>D85*100/#REF!</f>
        <v>#REF!</v>
      </c>
      <c r="F85" s="62">
        <f t="shared" si="2"/>
        <v>22.55</v>
      </c>
      <c r="G85" s="63"/>
      <c r="H85" s="36"/>
      <c r="I85" s="36"/>
      <c r="J85" s="83"/>
      <c r="K85" s="84"/>
      <c r="L85" s="84"/>
      <c r="M85" s="84"/>
    </row>
    <row r="86" spans="1:13" x14ac:dyDescent="0.25">
      <c r="A86" s="72" t="s">
        <v>337</v>
      </c>
      <c r="B86" s="73" t="s">
        <v>338</v>
      </c>
      <c r="C86" s="70"/>
      <c r="D86" s="71">
        <v>22.74</v>
      </c>
      <c r="E86" s="71" t="e">
        <f>D86*100/#REF!</f>
        <v>#REF!</v>
      </c>
      <c r="F86" s="62">
        <f t="shared" si="2"/>
        <v>21.6</v>
      </c>
      <c r="G86" s="63"/>
      <c r="H86" s="36"/>
      <c r="I86" s="36"/>
      <c r="J86" s="83"/>
      <c r="K86" s="84"/>
      <c r="L86" s="84"/>
      <c r="M86" s="84"/>
    </row>
    <row r="87" spans="1:13" x14ac:dyDescent="0.25">
      <c r="A87" s="72" t="s">
        <v>339</v>
      </c>
      <c r="B87" s="73" t="s">
        <v>340</v>
      </c>
      <c r="C87" s="70"/>
      <c r="D87" s="71">
        <v>12.01</v>
      </c>
      <c r="E87" s="71" t="e">
        <f>D87*100/#REF!</f>
        <v>#REF!</v>
      </c>
      <c r="F87" s="62">
        <f t="shared" si="2"/>
        <v>11.41</v>
      </c>
      <c r="G87" s="63"/>
      <c r="H87" s="36"/>
      <c r="I87" s="36"/>
      <c r="J87" s="36"/>
      <c r="K87" s="36"/>
      <c r="L87" s="36"/>
      <c r="M87" s="36"/>
    </row>
    <row r="88" spans="1:13" x14ac:dyDescent="0.25">
      <c r="A88" s="72" t="s">
        <v>341</v>
      </c>
      <c r="B88" s="73" t="s">
        <v>342</v>
      </c>
      <c r="C88" s="70"/>
      <c r="D88" s="71">
        <v>13.61</v>
      </c>
      <c r="E88" s="71" t="e">
        <f>D88*100/#REF!</f>
        <v>#REF!</v>
      </c>
      <c r="F88" s="62">
        <f>ROUND(D88*0.95,2)</f>
        <v>12.93</v>
      </c>
      <c r="G88" s="63"/>
      <c r="H88" s="36"/>
      <c r="I88" s="36"/>
      <c r="J88" s="36"/>
      <c r="K88" s="36"/>
      <c r="L88" s="36"/>
      <c r="M88" s="36"/>
    </row>
    <row r="89" spans="1:13" x14ac:dyDescent="0.25">
      <c r="A89" s="85"/>
      <c r="B89" s="36"/>
      <c r="C89" s="36"/>
      <c r="D89" s="56"/>
      <c r="E89" s="56"/>
      <c r="F89" s="56"/>
      <c r="G89" s="56"/>
      <c r="H89" s="36"/>
      <c r="I89" s="36"/>
      <c r="J89" s="36"/>
      <c r="K89" s="36"/>
      <c r="L89" s="36"/>
      <c r="M89" s="36"/>
    </row>
    <row r="90" spans="1:13" x14ac:dyDescent="0.25">
      <c r="A90" s="88" t="s">
        <v>343</v>
      </c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</row>
    <row r="91" spans="1:13" x14ac:dyDescent="0.25">
      <c r="A91" s="88" t="s">
        <v>344</v>
      </c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</row>
    <row r="92" spans="1:13" x14ac:dyDescent="0.25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</row>
    <row r="93" spans="1:13" x14ac:dyDescent="0.25">
      <c r="A93" s="88" t="s">
        <v>345</v>
      </c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</row>
    <row r="94" spans="1:13" x14ac:dyDescent="0.25">
      <c r="A94" s="88" t="s">
        <v>346</v>
      </c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</row>
    <row r="95" spans="1:13" x14ac:dyDescent="0.25">
      <c r="A95" s="88" t="s">
        <v>347</v>
      </c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</row>
    <row r="96" spans="1:13" x14ac:dyDescent="0.25">
      <c r="A96" s="88" t="s">
        <v>348</v>
      </c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</row>
    <row r="97" spans="1:13" x14ac:dyDescent="0.25">
      <c r="A97" s="88" t="s">
        <v>349</v>
      </c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</row>
    <row r="98" spans="1:13" x14ac:dyDescent="0.25">
      <c r="A98" s="93" t="s">
        <v>350</v>
      </c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</row>
    <row r="99" spans="1:13" x14ac:dyDescent="0.25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</row>
    <row r="100" spans="1:13" x14ac:dyDescent="0.25">
      <c r="A100" s="88" t="s">
        <v>351</v>
      </c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</row>
  </sheetData>
  <mergeCells count="15">
    <mergeCell ref="A98:M98"/>
    <mergeCell ref="A99:M99"/>
    <mergeCell ref="A100:M100"/>
    <mergeCell ref="A92:M92"/>
    <mergeCell ref="A93:M93"/>
    <mergeCell ref="A94:M94"/>
    <mergeCell ref="A95:M95"/>
    <mergeCell ref="A96:M96"/>
    <mergeCell ref="A97:M97"/>
    <mergeCell ref="A91:M91"/>
    <mergeCell ref="A1:M1"/>
    <mergeCell ref="A2:M2"/>
    <mergeCell ref="A3:M3"/>
    <mergeCell ref="A4:M4"/>
    <mergeCell ref="A90:M90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Sheet1</vt:lpstr>
      <vt:lpstr>Tabelle1</vt:lpstr>
      <vt:lpstr>Sheet1!Druckbereich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Saeb</dc:creator>
  <cp:lastModifiedBy>Fabian Schwan</cp:lastModifiedBy>
  <cp:lastPrinted>2026-09-21T05:34:47Z</cp:lastPrinted>
  <dcterms:created xsi:type="dcterms:W3CDTF">2015-03-03T19:34:14Z</dcterms:created>
  <dcterms:modified xsi:type="dcterms:W3CDTF">2026-10-22T14:20:45Z</dcterms:modified>
</cp:coreProperties>
</file>