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nfo\Desktop\"/>
    </mc:Choice>
  </mc:AlternateContent>
  <bookViews>
    <workbookView xWindow="0" yWindow="0" windowWidth="38400" windowHeight="17835" tabRatio="500"/>
  </bookViews>
  <sheets>
    <sheet name="Sheet1" sheetId="1" r:id="rId1"/>
  </sheets>
  <definedNames>
    <definedName name="_xlnm.Print_Area" localSheetId="0">Sheet1!$A$1:$G$45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6" i="1" l="1"/>
  <c r="G25" i="1"/>
  <c r="G24" i="1"/>
  <c r="G23" i="1"/>
  <c r="G22" i="1"/>
  <c r="G21" i="1"/>
  <c r="G28" i="1" l="1"/>
  <c r="G29" i="1" s="1"/>
  <c r="G30" i="1" s="1"/>
</calcChain>
</file>

<file path=xl/sharedStrings.xml><?xml version="1.0" encoding="utf-8"?>
<sst xmlns="http://schemas.openxmlformats.org/spreadsheetml/2006/main" count="41" uniqueCount="41">
  <si>
    <t>Pos.</t>
  </si>
  <si>
    <t>Bezeichnung</t>
  </si>
  <si>
    <t>Menge</t>
  </si>
  <si>
    <t>Einzelpreis</t>
  </si>
  <si>
    <t>Gesamtpreis</t>
  </si>
  <si>
    <t>Datum</t>
  </si>
  <si>
    <t>Kunden Nr.</t>
  </si>
  <si>
    <t>Patientenname</t>
  </si>
  <si>
    <t>Zahlungsbedingungen: nach Rechnungserhalt, 10 Tage</t>
  </si>
  <si>
    <t>Wir bedanken uns für Ihren Auftrag!</t>
  </si>
  <si>
    <t>Summe netto €</t>
  </si>
  <si>
    <t>Umsatzsteuer 7% €</t>
  </si>
  <si>
    <t>Gesamtsumme brutto €</t>
  </si>
  <si>
    <t>BEL II / BEB</t>
  </si>
  <si>
    <t>001</t>
  </si>
  <si>
    <t>002</t>
  </si>
  <si>
    <t>003</t>
  </si>
  <si>
    <t>001 0</t>
  </si>
  <si>
    <t>Modell</t>
  </si>
  <si>
    <t>002 1</t>
  </si>
  <si>
    <t>Doublieren eines Modells</t>
  </si>
  <si>
    <t>012 0</t>
  </si>
  <si>
    <t>Mittelwertartikulator</t>
  </si>
  <si>
    <t>401 0</t>
  </si>
  <si>
    <t>710 0</t>
  </si>
  <si>
    <t>Aufbiss</t>
  </si>
  <si>
    <t>933 0</t>
  </si>
  <si>
    <t>Versandkosten</t>
  </si>
  <si>
    <t>004</t>
  </si>
  <si>
    <t>005</t>
  </si>
  <si>
    <t>006</t>
  </si>
  <si>
    <t>Aufbissbehelf mit adjustierter Oberfläche</t>
  </si>
  <si>
    <t>Rechnung Nr.</t>
  </si>
  <si>
    <t>Rechnung</t>
  </si>
  <si>
    <t>XML:</t>
  </si>
  <si>
    <t>Das Leistungsdatum entspricht dem Rechnungsdatum.</t>
  </si>
  <si>
    <t>Zahnarztpraxis Dr. Atef Eltiri</t>
  </si>
  <si>
    <t>Bernulfstraße 7</t>
  </si>
  <si>
    <t>12524 Berlin</t>
  </si>
  <si>
    <t>01.019</t>
  </si>
  <si>
    <t>Schwan Dental, Waldstraße 12, 15741 Bestensee, 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</si>
</sst>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€&quot;;[Red]\-#,##0.00\ &quot;€&quot;"/>
    <numFmt numFmtId="164" formatCode="#,##0.00\ &quot;€&quot;"/>
    <numFmt numFmtId="165" formatCode="[$-407]dd/mm/yyyy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9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sz val="8"/>
      <color theme="1"/>
      <name val="Cambria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theme="1"/>
      <name val="Myriad Pro Light"/>
      <family val="2"/>
    </font>
    <font>
      <sz val="7.5"/>
      <color theme="1"/>
      <name val="Myriad Pro"/>
      <family val="2"/>
    </font>
    <font>
      <sz val="12"/>
      <color rgb="FF7F7F7F"/>
      <name val="Calibri"/>
      <family val="2"/>
      <scheme val="minor"/>
    </font>
    <font>
      <sz val="7.5"/>
      <color rgb="FF7F7F7F"/>
      <name val="Myriad Pro"/>
      <family val="2"/>
    </font>
    <font>
      <sz val="10"/>
      <color rgb="FF000000"/>
      <name val="Myriad Pro"/>
      <family val="2"/>
    </font>
    <font>
      <sz val="10"/>
      <color theme="1"/>
      <name val="Myriad Pro"/>
      <family val="2"/>
    </font>
    <font>
      <b/>
      <sz val="7.5"/>
      <color rgb="FF7F7F7F"/>
      <name val="Myriad Pro"/>
      <family val="2"/>
    </font>
    <font>
      <b/>
      <sz val="12"/>
      <color theme="1"/>
      <name val="Myriad Pro Light"/>
      <family val="2"/>
    </font>
    <font>
      <b/>
      <sz val="9"/>
      <color theme="1"/>
      <name val="Myriad Pro Light"/>
      <family val="2"/>
    </font>
    <font>
      <b/>
      <sz val="7.5"/>
      <color theme="1"/>
      <name val="Myriad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vertical="center" indent="1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8" fontId="3" fillId="0" borderId="0" xfId="0" applyNumberFormat="1" applyFont="1" applyAlignment="1">
      <alignment vertical="center"/>
    </xf>
    <xf numFmtId="8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/>
    <xf numFmtId="0" fontId="20" fillId="2" borderId="0" xfId="0" applyFont="1" applyFill="1" applyAlignment="1">
      <alignment horizontal="right"/>
    </xf>
    <xf numFmtId="0" fontId="12" fillId="0" borderId="0" xfId="0" applyFont="1" applyAlignment="1">
      <alignment horizontal="left"/>
    </xf>
    <xf numFmtId="2" fontId="12" fillId="0" borderId="0" xfId="0" applyNumberFormat="1" applyFont="1"/>
    <xf numFmtId="164" fontId="12" fillId="0" borderId="0" xfId="0" applyNumberFormat="1" applyFont="1"/>
    <xf numFmtId="8" fontId="12" fillId="0" borderId="0" xfId="0" applyNumberFormat="1" applyFont="1"/>
    <xf numFmtId="8" fontId="20" fillId="0" borderId="0" xfId="0" applyNumberFormat="1" applyFont="1" applyAlignment="1">
      <alignment vertical="center"/>
    </xf>
    <xf numFmtId="0" fontId="12" fillId="0" borderId="0" xfId="0" applyFont="1" applyAlignment="1">
      <alignment horizontal="right"/>
    </xf>
    <xf numFmtId="0" fontId="13" fillId="0" borderId="0" xfId="0" applyFont="1" applyAlignment="1">
      <alignment vertical="center"/>
    </xf>
    <xf numFmtId="165" fontId="17" fillId="0" borderId="0" xfId="0" applyNumberFormat="1" applyFont="1"/>
    <xf numFmtId="0" fontId="17" fillId="0" borderId="0" xfId="0" applyFont="1" applyAlignment="1">
      <alignment horizontal="right"/>
    </xf>
    <xf numFmtId="49" fontId="17" fillId="0" borderId="0" xfId="0" quotePrefix="1" applyNumberFormat="1" applyFont="1" applyAlignment="1">
      <alignment horizontal="right"/>
    </xf>
    <xf numFmtId="49" fontId="12" fillId="0" borderId="0" xfId="0" applyNumberFormat="1" applyFont="1" applyAlignment="1">
      <alignment horizontal="left"/>
    </xf>
    <xf numFmtId="49" fontId="12" fillId="0" borderId="0" xfId="0" applyNumberFormat="1" applyFont="1"/>
    <xf numFmtId="0" fontId="21" fillId="0" borderId="0" xfId="0" applyFont="1" applyAlignment="1">
      <alignment vertical="center"/>
    </xf>
  </cellXfs>
  <cellStyles count="35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Standard" xfId="0" builtinId="0"/>
  </cellStyles>
  <dxfs count="0"/>
  <tableStyles count="0" defaultTableStyle="TableStyleMedium9" defaultPivotStyle="PivotStyleMedium4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55553</xdr:colOff>
      <xdr:row>0</xdr:row>
      <xdr:rowOff>0</xdr:rowOff>
    </xdr:from>
    <xdr:to>
      <xdr:col>7</xdr:col>
      <xdr:colOff>48256</xdr:colOff>
      <xdr:row>2</xdr:row>
      <xdr:rowOff>127187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78000" contrast="-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53" y="0"/>
          <a:ext cx="5758354" cy="49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view="pageLayout" zoomScale="115" zoomScaleNormal="115" zoomScalePageLayoutView="115" workbookViewId="0">
      <selection activeCell="G9" sqref="G9"/>
    </sheetView>
  </sheetViews>
  <sheetFormatPr baseColWidth="10" defaultRowHeight="15.75" x14ac:dyDescent="0.25"/>
  <cols>
    <col min="1" max="1" width="4.625" customWidth="1"/>
    <col min="4" max="4" width="15.75" customWidth="1"/>
    <col min="6" max="6" width="9.125" customWidth="1"/>
    <col min="7" max="7" width="13" customWidth="1"/>
  </cols>
  <sheetData>
    <row r="1" spans="1:10" ht="14.25" customHeight="1" x14ac:dyDescent="0.25">
      <c r="A1" s="1"/>
    </row>
    <row r="2" spans="1:10" ht="14.25" customHeight="1" x14ac:dyDescent="0.25">
      <c r="A2" s="1"/>
    </row>
    <row r="3" spans="1:10" ht="14.25" customHeight="1" x14ac:dyDescent="0.25">
      <c r="A3" s="2"/>
    </row>
    <row r="4" spans="1:10" ht="14.25" customHeight="1" x14ac:dyDescent="0.25">
      <c r="A4" s="2"/>
    </row>
    <row r="5" spans="1:10" ht="14.25" customHeight="1" x14ac:dyDescent="0.25">
      <c r="A5" s="2"/>
    </row>
    <row r="6" spans="1:10" ht="14.25" customHeight="1" x14ac:dyDescent="0.25">
      <c r="A6" s="2"/>
    </row>
    <row r="7" spans="1:10" ht="14.25" customHeight="1" x14ac:dyDescent="0.25">
      <c r="A7" s="15" t="s">
        <v>40</v>
      </c>
      <c r="B7" s="14"/>
      <c r="J7" s="3"/>
    </row>
    <row r="8" spans="1:10" ht="14.25" customHeight="1" x14ac:dyDescent="0.25">
      <c r="A8" s="3"/>
      <c r="B8" s="14"/>
      <c r="H8" s="3"/>
      <c r="I8" s="3"/>
      <c r="J8" s="4"/>
    </row>
    <row r="9" spans="1:10" ht="14.25" customHeight="1" x14ac:dyDescent="0.25">
      <c r="A9" s="16" t="s">
        <v>36</v>
      </c>
      <c r="E9" s="17" t="s">
        <v>5</v>
      </c>
      <c r="F9" s="17"/>
      <c r="G9" s="30"/>
      <c r="H9" s="3"/>
      <c r="I9" s="3"/>
      <c r="J9" s="4"/>
    </row>
    <row r="10" spans="1:10" ht="14.25" customHeight="1" x14ac:dyDescent="0.25">
      <c r="A10" s="16" t="s">
        <v>37</v>
      </c>
      <c r="E10" s="17" t="s">
        <v>6</v>
      </c>
      <c r="F10" s="17"/>
      <c r="G10" s="32" t="s">
        <v>39</v>
      </c>
      <c r="H10" s="3"/>
      <c r="J10" s="3"/>
    </row>
    <row r="11" spans="1:10" ht="14.25" customHeight="1" x14ac:dyDescent="0.25">
      <c r="A11" s="16" t="s">
        <v>38</v>
      </c>
      <c r="E11" s="17" t="s">
        <v>32</v>
      </c>
      <c r="F11" s="17"/>
      <c r="G11" s="32"/>
      <c r="H11" s="3"/>
      <c r="J11" s="3"/>
    </row>
    <row r="12" spans="1:10" ht="14.25" customHeight="1" x14ac:dyDescent="0.25">
      <c r="E12" s="17" t="s">
        <v>7</v>
      </c>
      <c r="F12" s="17"/>
      <c r="G12" s="31"/>
    </row>
    <row r="13" spans="1:10" ht="14.25" customHeight="1" x14ac:dyDescent="0.25">
      <c r="E13" s="17"/>
      <c r="F13" s="17"/>
      <c r="G13" s="17"/>
    </row>
    <row r="14" spans="1:10" ht="14.25" customHeight="1" x14ac:dyDescent="0.25"/>
    <row r="15" spans="1:10" ht="14.25" customHeight="1" x14ac:dyDescent="0.25">
      <c r="E15" s="17"/>
      <c r="F15" s="17"/>
      <c r="G15" s="31"/>
    </row>
    <row r="16" spans="1:10" ht="14.25" customHeight="1" x14ac:dyDescent="0.25">
      <c r="A16" s="19" t="s">
        <v>33</v>
      </c>
      <c r="E16" s="17" t="s">
        <v>34</v>
      </c>
      <c r="F16" s="17"/>
      <c r="G16" s="31"/>
    </row>
    <row r="17" spans="1:11" ht="14.25" customHeight="1" x14ac:dyDescent="0.25">
      <c r="A17" s="5"/>
    </row>
    <row r="18" spans="1:11" ht="14.25" customHeight="1" x14ac:dyDescent="0.25">
      <c r="A18" s="5"/>
    </row>
    <row r="19" spans="1:11" s="12" customFormat="1" ht="14.25" customHeight="1" x14ac:dyDescent="0.2">
      <c r="A19" s="20" t="s">
        <v>0</v>
      </c>
      <c r="B19" s="20" t="s">
        <v>13</v>
      </c>
      <c r="C19" s="21" t="s">
        <v>1</v>
      </c>
      <c r="D19" s="21"/>
      <c r="E19" s="22" t="s">
        <v>2</v>
      </c>
      <c r="F19" s="22" t="s">
        <v>3</v>
      </c>
      <c r="G19" s="22" t="s">
        <v>4</v>
      </c>
    </row>
    <row r="20" spans="1:11" ht="14.25" customHeight="1" x14ac:dyDescent="0.25">
      <c r="A20" s="3"/>
      <c r="K20" s="7"/>
    </row>
    <row r="21" spans="1:11" s="12" customFormat="1" ht="14.25" customHeight="1" x14ac:dyDescent="0.2">
      <c r="A21" s="33" t="s">
        <v>14</v>
      </c>
      <c r="B21" s="33" t="s">
        <v>17</v>
      </c>
      <c r="C21" s="12" t="s">
        <v>18</v>
      </c>
      <c r="E21" s="24">
        <v>3</v>
      </c>
      <c r="F21" s="25">
        <v>8.49</v>
      </c>
      <c r="G21" s="26">
        <f t="shared" ref="G21:G26" si="0">E21*F21</f>
        <v>25.47</v>
      </c>
    </row>
    <row r="22" spans="1:11" s="26" customFormat="1" ht="14.25" customHeight="1" x14ac:dyDescent="0.2">
      <c r="A22" s="33" t="s">
        <v>15</v>
      </c>
      <c r="B22" s="34" t="s">
        <v>19</v>
      </c>
      <c r="C22" s="26" t="s">
        <v>20</v>
      </c>
      <c r="E22" s="24">
        <v>1</v>
      </c>
      <c r="F22" s="26">
        <v>17.39</v>
      </c>
      <c r="G22" s="26">
        <f>E22*F22</f>
        <v>17.39</v>
      </c>
    </row>
    <row r="23" spans="1:11" s="26" customFormat="1" ht="14.25" customHeight="1" x14ac:dyDescent="0.2">
      <c r="A23" s="33" t="s">
        <v>16</v>
      </c>
      <c r="B23" s="34" t="s">
        <v>21</v>
      </c>
      <c r="C23" s="26" t="s">
        <v>22</v>
      </c>
      <c r="E23" s="24">
        <v>1</v>
      </c>
      <c r="F23" s="26">
        <v>12.47</v>
      </c>
      <c r="G23" s="26">
        <f t="shared" si="0"/>
        <v>12.47</v>
      </c>
    </row>
    <row r="24" spans="1:11" s="12" customFormat="1" ht="14.25" customHeight="1" x14ac:dyDescent="0.2">
      <c r="A24" s="33" t="s">
        <v>28</v>
      </c>
      <c r="B24" s="34" t="s">
        <v>23</v>
      </c>
      <c r="C24" s="12" t="s">
        <v>31</v>
      </c>
      <c r="E24" s="24">
        <v>1</v>
      </c>
      <c r="F24" s="25">
        <v>123.3</v>
      </c>
      <c r="G24" s="26">
        <f t="shared" si="0"/>
        <v>123.3</v>
      </c>
      <c r="I24" s="27"/>
    </row>
    <row r="25" spans="1:11" ht="14.25" customHeight="1" x14ac:dyDescent="0.25">
      <c r="A25" s="33" t="s">
        <v>29</v>
      </c>
      <c r="B25" s="34" t="s">
        <v>24</v>
      </c>
      <c r="C25" s="12" t="s">
        <v>25</v>
      </c>
      <c r="D25" s="12"/>
      <c r="E25" s="24">
        <v>2</v>
      </c>
      <c r="F25" s="25">
        <v>13.95</v>
      </c>
      <c r="G25" s="26">
        <f t="shared" si="0"/>
        <v>27.9</v>
      </c>
      <c r="H25" s="6"/>
      <c r="K25" s="8"/>
    </row>
    <row r="26" spans="1:11" ht="14.25" customHeight="1" x14ac:dyDescent="0.25">
      <c r="A26" s="33" t="s">
        <v>30</v>
      </c>
      <c r="B26" s="34" t="s">
        <v>26</v>
      </c>
      <c r="C26" s="12" t="s">
        <v>27</v>
      </c>
      <c r="D26" s="12"/>
      <c r="E26" s="24">
        <v>2</v>
      </c>
      <c r="F26" s="25">
        <v>7.2</v>
      </c>
      <c r="G26" s="26">
        <f t="shared" si="0"/>
        <v>14.4</v>
      </c>
      <c r="H26" s="6"/>
      <c r="K26" s="8"/>
    </row>
    <row r="27" spans="1:11" ht="14.25" customHeight="1" x14ac:dyDescent="0.25">
      <c r="A27" s="9"/>
    </row>
    <row r="28" spans="1:11" s="12" customFormat="1" ht="14.25" customHeight="1" x14ac:dyDescent="0.2">
      <c r="A28" s="23"/>
      <c r="D28" s="28" t="s">
        <v>10</v>
      </c>
      <c r="E28" s="24"/>
      <c r="F28" s="25"/>
      <c r="G28" s="26">
        <f>SUM(G21:G26)</f>
        <v>220.93</v>
      </c>
    </row>
    <row r="29" spans="1:11" s="12" customFormat="1" ht="14.25" customHeight="1" x14ac:dyDescent="0.2">
      <c r="A29" s="23"/>
      <c r="D29" s="28" t="s">
        <v>11</v>
      </c>
      <c r="E29" s="24"/>
      <c r="F29" s="25"/>
      <c r="G29" s="26">
        <f>0.07*G28</f>
        <v>15.465100000000001</v>
      </c>
    </row>
    <row r="30" spans="1:11" s="12" customFormat="1" ht="14.25" customHeight="1" x14ac:dyDescent="0.2">
      <c r="A30" s="23"/>
      <c r="D30" s="28" t="s">
        <v>12</v>
      </c>
      <c r="E30" s="24"/>
      <c r="F30" s="25"/>
      <c r="G30" s="26">
        <f>SUM(G28:G29)</f>
        <v>236.39510000000001</v>
      </c>
    </row>
    <row r="31" spans="1:11" ht="14.25" customHeight="1" x14ac:dyDescent="0.25"/>
    <row r="32" spans="1:11" s="13" customFormat="1" ht="14.25" customHeight="1" x14ac:dyDescent="0.15">
      <c r="A32" s="13" t="s">
        <v>9</v>
      </c>
    </row>
    <row r="33" spans="1:8" ht="14.25" customHeight="1" x14ac:dyDescent="0.25"/>
    <row r="34" spans="1:8" s="13" customFormat="1" ht="14.25" customHeight="1" x14ac:dyDescent="0.15">
      <c r="A34" s="29" t="s">
        <v>8</v>
      </c>
    </row>
    <row r="35" spans="1:8" ht="14.25" customHeight="1" x14ac:dyDescent="0.25">
      <c r="A35" s="10"/>
    </row>
    <row r="36" spans="1:8" ht="14.25" customHeight="1" x14ac:dyDescent="0.25">
      <c r="A36" s="35" t="s">
        <v>35</v>
      </c>
    </row>
    <row r="37" spans="1:8" ht="14.25" customHeight="1" x14ac:dyDescent="0.25"/>
    <row r="38" spans="1:8" ht="14.25" customHeight="1" x14ac:dyDescent="0.25"/>
    <row r="39" spans="1:8" ht="14.25" customHeight="1" x14ac:dyDescent="0.25">
      <c r="A39" s="18"/>
      <c r="B39" s="15"/>
      <c r="C39" s="15"/>
      <c r="E39" s="18"/>
      <c r="F39" s="15"/>
    </row>
    <row r="40" spans="1:8" ht="14.25" customHeight="1" x14ac:dyDescent="0.25">
      <c r="A40" s="15"/>
      <c r="B40" s="15"/>
      <c r="C40" s="15"/>
      <c r="E40" s="15"/>
      <c r="F40" s="15"/>
    </row>
    <row r="41" spans="1:8" ht="14.25" customHeight="1" x14ac:dyDescent="0.25">
      <c r="A41" s="15"/>
      <c r="B41" s="15"/>
      <c r="C41" s="15"/>
      <c r="E41" s="18"/>
      <c r="F41" s="15"/>
      <c r="H41" s="11"/>
    </row>
    <row r="42" spans="1:8" ht="14.25" customHeight="1" x14ac:dyDescent="0.25">
      <c r="A42" s="15"/>
      <c r="B42" s="15"/>
      <c r="C42" s="15"/>
      <c r="E42" s="15"/>
      <c r="F42" s="15"/>
      <c r="H42" s="11"/>
    </row>
    <row r="43" spans="1:8" ht="14.25" customHeight="1" x14ac:dyDescent="0.25">
      <c r="A43" s="15"/>
      <c r="B43" s="15"/>
      <c r="C43" s="15"/>
      <c r="E43" s="15"/>
      <c r="F43" s="15"/>
      <c r="H43" s="11"/>
    </row>
    <row r="44" spans="1:8" ht="14.25" customHeight="1" x14ac:dyDescent="0.25">
      <c r="A44" s="15"/>
      <c r="B44" s="15"/>
      <c r="C44" s="15"/>
      <c r="E44" s="15"/>
      <c r="F44" s="15"/>
    </row>
    <row r="45" spans="1:8" x14ac:dyDescent="0.25">
      <c r="A45" s="15"/>
      <c r="B45" s="15"/>
      <c r="C45" s="15"/>
      <c r="E45" s="15"/>
      <c r="F45" s="15"/>
    </row>
  </sheetData>
  <phoneticPr fontId="10" type="noConversion"/>
  <pageMargins left="1" right="0.83333333333333337" top="1" bottom="1" header="0.5" footer="0.5"/>
  <pageSetup paperSize="9" orientation="portrait" r:id="rId1"/>
  <headerFooter>
    <oddFooter>&amp;L&amp;7&amp;K7F7F7FSchwan Dental
Waldstraße 12, 15741 Bestensee&amp;R&amp;7&amp;K7F7F7FInhaber: Fabian Schwan
USt-IdNr.: DE308846085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</dc:creator>
  <cp:lastModifiedBy>Fabian Schwan</cp:lastModifiedBy>
  <cp:lastPrinted>2026-10-21T11:55:52Z</cp:lastPrinted>
  <dcterms:created xsi:type="dcterms:W3CDTF">2015-03-03T19:34:14Z</dcterms:created>
  <dcterms:modified xsi:type="dcterms:W3CDTF">2026-10-23T22:11:27Z</dcterms:modified>
</cp:coreProperties>
</file>